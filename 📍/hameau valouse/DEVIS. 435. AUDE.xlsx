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gilles/Desktop/LE MISE EN BOUCHE/"/>
    </mc:Choice>
  </mc:AlternateContent>
  <xr:revisionPtr revIDLastSave="0" documentId="8_{C5EF380E-9EEA-5642-9FBF-4F2D3892A665}" xr6:coauthVersionLast="47" xr6:coauthVersionMax="47" xr10:uidLastSave="{00000000-0000-0000-0000-000000000000}"/>
  <bookViews>
    <workbookView xWindow="23980" yWindow="600" windowWidth="28660" windowHeight="1636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D33" i="1"/>
  <c r="G33" i="1" s="1"/>
  <c r="D23" i="1"/>
  <c r="G23" i="1" s="1"/>
  <c r="D27" i="1"/>
  <c r="G27" i="1" s="1"/>
  <c r="D32" i="1"/>
  <c r="G32" i="1"/>
  <c r="D21" i="1"/>
  <c r="G21" i="1" s="1"/>
  <c r="D20" i="1"/>
  <c r="G20" i="1" s="1"/>
  <c r="D34" i="1"/>
  <c r="G34" i="1"/>
  <c r="D22" i="1"/>
  <c r="G22" i="1" s="1"/>
  <c r="D24" i="1"/>
  <c r="G24" i="1" s="1"/>
  <c r="D25" i="1"/>
  <c r="G25" i="1" s="1"/>
  <c r="D26" i="1"/>
  <c r="G26" i="1" s="1"/>
  <c r="D28" i="1"/>
  <c r="G28" i="1" s="1"/>
  <c r="D29" i="1"/>
  <c r="G29" i="1" s="1"/>
  <c r="D30" i="1"/>
  <c r="G30" i="1" s="1"/>
  <c r="D31" i="1"/>
  <c r="G31" i="1" s="1"/>
  <c r="D19" i="1"/>
  <c r="G19" i="1" s="1"/>
  <c r="H37" i="1"/>
  <c r="D18" i="1"/>
  <c r="G18" i="1" s="1"/>
  <c r="H38" i="1" l="1"/>
  <c r="H40" i="1" s="1"/>
</calcChain>
</file>

<file path=xl/sharedStrings.xml><?xml version="1.0" encoding="utf-8"?>
<sst xmlns="http://schemas.openxmlformats.org/spreadsheetml/2006/main" count="29" uniqueCount="29">
  <si>
    <t xml:space="preserve">Date : </t>
  </si>
  <si>
    <t>Désignation</t>
  </si>
  <si>
    <t>Total H.T</t>
  </si>
  <si>
    <t>Total TTC</t>
  </si>
  <si>
    <t xml:space="preserve">Reste à payer </t>
  </si>
  <si>
    <t>En votre aimable règlement</t>
  </si>
  <si>
    <t>Code 
TVA</t>
  </si>
  <si>
    <t>TVA 20 %</t>
  </si>
  <si>
    <t>Prix unit
 HT</t>
  </si>
  <si>
    <t>Prix unit
 TTC</t>
  </si>
  <si>
    <t>Total 
TTC</t>
  </si>
  <si>
    <t>Total
 HT</t>
  </si>
  <si>
    <t>Qté</t>
  </si>
  <si>
    <t xml:space="preserve">Intitulé : </t>
  </si>
  <si>
    <t>Acompte</t>
  </si>
  <si>
    <t>Nappage serviettes tissus ,materiel cocktail,</t>
  </si>
  <si>
    <t>verrerie,vaiselle,pain ,café,</t>
  </si>
  <si>
    <t xml:space="preserve">INCLUS </t>
  </si>
  <si>
    <t>TVA 5,5 %</t>
  </si>
  <si>
    <t>SERVEURS</t>
  </si>
  <si>
    <t>CUISINIERS</t>
  </si>
  <si>
    <t>PRESTATAIRES</t>
  </si>
  <si>
    <t>ENFANTS</t>
  </si>
  <si>
    <t>A/R DEPLACEMENT</t>
  </si>
  <si>
    <t>DEVIS N°  435 /2026</t>
  </si>
  <si>
    <t>AUDE</t>
  </si>
  <si>
    <t>MARIAGE DOMAINE VALAOUSE</t>
  </si>
  <si>
    <t xml:space="preserve">COCKTAIL REPAS </t>
  </si>
  <si>
    <t>BRUNCH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</si>
</sst>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4" fontId="2" fillId="0" borderId="1" xfId="0" applyNumberFormat="1" applyFont="1" applyBorder="1"/>
    <xf numFmtId="4" fontId="2" fillId="0" borderId="8" xfId="0" applyNumberFormat="1" applyFont="1" applyBorder="1"/>
    <xf numFmtId="4" fontId="2" fillId="0" borderId="9" xfId="0" applyNumberFormat="1" applyFont="1" applyBorder="1"/>
    <xf numFmtId="4" fontId="2" fillId="0" borderId="10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4" fontId="2" fillId="2" borderId="8" xfId="0" applyNumberFormat="1" applyFont="1" applyFill="1" applyBorder="1"/>
    <xf numFmtId="4" fontId="2" fillId="2" borderId="9" xfId="0" applyNumberFormat="1" applyFont="1" applyFill="1" applyBorder="1"/>
    <xf numFmtId="2" fontId="2" fillId="2" borderId="8" xfId="0" applyNumberFormat="1" applyFont="1" applyFill="1" applyBorder="1"/>
    <xf numFmtId="2" fontId="2" fillId="2" borderId="0" xfId="0" applyNumberFormat="1" applyFont="1" applyFill="1"/>
    <xf numFmtId="2" fontId="2" fillId="2" borderId="9" xfId="0" applyNumberFormat="1" applyFont="1" applyFill="1" applyBorder="1"/>
    <xf numFmtId="4" fontId="2" fillId="2" borderId="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14" fontId="2" fillId="0" borderId="0" xfId="0" applyNumberFormat="1" applyFont="1"/>
    <xf numFmtId="2" fontId="2" fillId="2" borderId="10" xfId="0" applyNumberFormat="1" applyFont="1" applyFill="1" applyBorder="1"/>
    <xf numFmtId="14" fontId="0" fillId="0" borderId="0" xfId="0" applyNumberFormat="1"/>
    <xf numFmtId="0" fontId="8" fillId="0" borderId="0" xfId="0" applyFont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8" fillId="0" borderId="0" xfId="0" applyFont="1"/>
    <xf numFmtId="0" fontId="3" fillId="0" borderId="0" xfId="0" applyFont="1"/>
    <xf numFmtId="0" fontId="0" fillId="0" borderId="5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9" fillId="0" borderId="4" xfId="0" applyFont="1" applyBorder="1"/>
    <xf numFmtId="0" fontId="10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9" fillId="0" borderId="5" xfId="0" applyFont="1" applyBorder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481522</xdr:colOff>
      <xdr:row>8</xdr:row>
      <xdr:rowOff>72461</xdr:rowOff>
    </xdr:to>
    <xdr:pic>
      <xdr:nvPicPr>
        <xdr:cNvPr id="2" name="Image 1" descr="http://static.seety.pagesjaunes.fr/asset_site_10657a16-0108-4a09-a8fc-9a8169636f52/0094a0dd-ffeb-447a-b791-8e53ee95bbe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66022" cy="1767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8"/>
  <sheetViews>
    <sheetView tabSelected="1" workbookViewId="0">
      <selection activeCell="K27" sqref="K27"/>
    </sheetView>
  </sheetViews>
  <sheetFormatPr baseColWidth="10" defaultRowHeight="15" x14ac:dyDescent="0.2"/>
  <cols>
    <col min="1" max="1" width="5.1640625" customWidth="1"/>
    <col min="3" max="3" width="24.6640625" customWidth="1"/>
    <col min="4" max="5" width="8.83203125" customWidth="1"/>
    <col min="6" max="6" width="6.33203125" customWidth="1"/>
    <col min="7" max="7" width="10.1640625" customWidth="1"/>
    <col min="8" max="8" width="11.1640625" customWidth="1"/>
    <col min="9" max="9" width="17" customWidth="1"/>
  </cols>
  <sheetData>
    <row r="3" spans="1:8" ht="23" x14ac:dyDescent="0.25">
      <c r="E3" s="27" t="s">
        <v>24</v>
      </c>
      <c r="F3" s="27"/>
      <c r="G3" s="27"/>
      <c r="H3" s="28"/>
    </row>
    <row r="5" spans="1:8" ht="19" x14ac:dyDescent="0.25">
      <c r="E5" s="25" t="s">
        <v>25</v>
      </c>
      <c r="F5" s="25"/>
      <c r="G5" s="25"/>
    </row>
    <row r="8" spans="1:8" ht="18" x14ac:dyDescent="0.2">
      <c r="E8" s="34"/>
      <c r="F8" s="28"/>
      <c r="G8" s="28"/>
      <c r="H8" s="28"/>
    </row>
    <row r="9" spans="1:8" ht="18" x14ac:dyDescent="0.2">
      <c r="E9" s="34"/>
      <c r="F9" s="28"/>
      <c r="G9" s="28"/>
      <c r="H9" s="28"/>
    </row>
    <row r="10" spans="1:8" ht="18" x14ac:dyDescent="0.2">
      <c r="E10" s="34"/>
      <c r="F10" s="28"/>
      <c r="G10" s="28"/>
      <c r="H10" s="28"/>
    </row>
    <row r="13" spans="1:8" ht="16" x14ac:dyDescent="0.2">
      <c r="A13" s="2"/>
      <c r="B13" s="22" t="s">
        <v>0</v>
      </c>
      <c r="C13" s="24"/>
    </row>
    <row r="14" spans="1:8" ht="16" x14ac:dyDescent="0.2">
      <c r="B14" s="2"/>
    </row>
    <row r="15" spans="1:8" ht="19" x14ac:dyDescent="0.25">
      <c r="A15" s="2"/>
      <c r="B15" s="1" t="s">
        <v>13</v>
      </c>
      <c r="C15" s="33" t="s">
        <v>26</v>
      </c>
      <c r="D15" s="28"/>
    </row>
    <row r="17" spans="1:11" ht="42" customHeight="1" x14ac:dyDescent="0.2">
      <c r="A17" s="20" t="s">
        <v>12</v>
      </c>
      <c r="B17" s="26" t="s">
        <v>1</v>
      </c>
      <c r="C17" s="26"/>
      <c r="D17" s="21" t="s">
        <v>8</v>
      </c>
      <c r="E17" s="21" t="s">
        <v>9</v>
      </c>
      <c r="F17" s="21" t="s">
        <v>6</v>
      </c>
      <c r="G17" s="21" t="s">
        <v>11</v>
      </c>
      <c r="H17" s="21" t="s">
        <v>10</v>
      </c>
      <c r="I17" s="2"/>
      <c r="J17" s="2"/>
      <c r="K17" s="2"/>
    </row>
    <row r="18" spans="1:11" ht="16" x14ac:dyDescent="0.2">
      <c r="A18" s="8"/>
      <c r="B18" s="29"/>
      <c r="C18" s="30"/>
      <c r="D18" s="13">
        <f>IF(F18=1,(E18/1.1),(E18/1.2))</f>
        <v>0</v>
      </c>
      <c r="E18" s="5"/>
      <c r="F18" s="8">
        <v>1</v>
      </c>
      <c r="G18" s="11">
        <f>$D18*$A18</f>
        <v>0</v>
      </c>
      <c r="H18" s="11">
        <f>A18*E18</f>
        <v>0</v>
      </c>
      <c r="I18" s="2"/>
      <c r="J18" s="2"/>
      <c r="K18" s="2"/>
    </row>
    <row r="19" spans="1:11" ht="16" x14ac:dyDescent="0.2">
      <c r="A19" s="9">
        <v>76</v>
      </c>
      <c r="B19" s="31" t="s">
        <v>27</v>
      </c>
      <c r="C19" s="32"/>
      <c r="D19" s="15">
        <f t="shared" ref="D19:D34" si="0">IF(F19=1,(E19/1.1),(E19/1.2))</f>
        <v>76.36363636363636</v>
      </c>
      <c r="E19" s="6">
        <v>84</v>
      </c>
      <c r="F19" s="9">
        <v>1</v>
      </c>
      <c r="G19" s="12">
        <f t="shared" ref="G19:G34" si="1">$D19*$A19</f>
        <v>5803.6363636363631</v>
      </c>
      <c r="H19" s="12">
        <f t="shared" ref="H19:H34" si="2">A19*E19</f>
        <v>6384</v>
      </c>
      <c r="I19" s="2"/>
      <c r="J19" s="2"/>
      <c r="K19" s="2"/>
    </row>
    <row r="20" spans="1:11" ht="16" x14ac:dyDescent="0.2">
      <c r="A20" s="9"/>
      <c r="B20" s="31"/>
      <c r="C20" s="35"/>
      <c r="D20" s="15">
        <f t="shared" si="0"/>
        <v>50.909090909090907</v>
      </c>
      <c r="E20" s="6">
        <v>56</v>
      </c>
      <c r="F20" s="9">
        <v>1</v>
      </c>
      <c r="G20" s="12">
        <f t="shared" si="1"/>
        <v>0</v>
      </c>
      <c r="H20" s="12">
        <f t="shared" si="2"/>
        <v>0</v>
      </c>
      <c r="I20" s="2"/>
      <c r="J20" s="2"/>
      <c r="K20" s="2"/>
    </row>
    <row r="21" spans="1:11" ht="16" x14ac:dyDescent="0.2">
      <c r="A21" s="9">
        <v>3</v>
      </c>
      <c r="B21" s="31" t="s">
        <v>19</v>
      </c>
      <c r="C21" s="35"/>
      <c r="D21" s="15">
        <f t="shared" si="0"/>
        <v>218.18181818181816</v>
      </c>
      <c r="E21" s="6">
        <v>240</v>
      </c>
      <c r="F21" s="9">
        <v>1</v>
      </c>
      <c r="G21" s="12">
        <f t="shared" si="1"/>
        <v>654.5454545454545</v>
      </c>
      <c r="H21" s="12">
        <f t="shared" si="2"/>
        <v>720</v>
      </c>
      <c r="I21" s="2"/>
      <c r="J21" s="2"/>
      <c r="K21" s="2"/>
    </row>
    <row r="22" spans="1:11" ht="16" x14ac:dyDescent="0.2">
      <c r="A22" s="9">
        <v>2</v>
      </c>
      <c r="B22" s="31" t="s">
        <v>20</v>
      </c>
      <c r="C22" s="32"/>
      <c r="D22" s="15">
        <f t="shared" si="0"/>
        <v>218.18181818181816</v>
      </c>
      <c r="E22" s="6">
        <v>240</v>
      </c>
      <c r="F22" s="9">
        <v>1</v>
      </c>
      <c r="G22" s="12">
        <f t="shared" si="1"/>
        <v>436.36363636363632</v>
      </c>
      <c r="H22" s="12">
        <f t="shared" si="2"/>
        <v>480</v>
      </c>
      <c r="I22" s="2"/>
      <c r="J22" s="2"/>
      <c r="K22" s="2"/>
    </row>
    <row r="23" spans="1:11" ht="16" x14ac:dyDescent="0.2">
      <c r="A23" s="9">
        <v>4</v>
      </c>
      <c r="B23" s="31" t="s">
        <v>21</v>
      </c>
      <c r="C23" s="32"/>
      <c r="D23" s="15">
        <f t="shared" si="0"/>
        <v>0</v>
      </c>
      <c r="E23" s="6"/>
      <c r="F23" s="9">
        <v>1</v>
      </c>
      <c r="G23" s="12">
        <f t="shared" si="1"/>
        <v>0</v>
      </c>
      <c r="H23" s="12">
        <f t="shared" si="2"/>
        <v>0</v>
      </c>
      <c r="I23" s="2"/>
      <c r="J23" s="2"/>
      <c r="K23" s="2"/>
    </row>
    <row r="24" spans="1:11" ht="16" x14ac:dyDescent="0.2">
      <c r="A24" s="9"/>
      <c r="B24" s="31" t="s">
        <v>22</v>
      </c>
      <c r="C24" s="32"/>
      <c r="D24" s="15">
        <f t="shared" si="0"/>
        <v>0</v>
      </c>
      <c r="E24" s="6"/>
      <c r="F24" s="9">
        <v>1</v>
      </c>
      <c r="G24" s="12">
        <f t="shared" si="1"/>
        <v>0</v>
      </c>
      <c r="H24" s="12">
        <f t="shared" si="2"/>
        <v>0</v>
      </c>
      <c r="I24" s="2"/>
      <c r="J24" s="2"/>
      <c r="K24" s="2"/>
    </row>
    <row r="25" spans="1:11" ht="16" x14ac:dyDescent="0.2">
      <c r="A25" s="9">
        <v>2</v>
      </c>
      <c r="B25" s="31" t="s">
        <v>23</v>
      </c>
      <c r="C25" s="32"/>
      <c r="D25" s="15">
        <f t="shared" si="0"/>
        <v>72.72727272727272</v>
      </c>
      <c r="E25" s="6">
        <v>80</v>
      </c>
      <c r="F25" s="9">
        <v>1</v>
      </c>
      <c r="G25" s="12">
        <f t="shared" si="1"/>
        <v>145.45454545454544</v>
      </c>
      <c r="H25" s="12">
        <f t="shared" si="2"/>
        <v>160</v>
      </c>
      <c r="I25" s="2"/>
      <c r="J25" s="2"/>
      <c r="K25" s="2"/>
    </row>
    <row r="26" spans="1:11" ht="16" x14ac:dyDescent="0.2">
      <c r="A26" s="9">
        <v>76</v>
      </c>
      <c r="B26" s="31" t="s">
        <v>28</v>
      </c>
      <c r="C26" s="32"/>
      <c r="D26" s="15">
        <f t="shared" si="0"/>
        <v>29.999999999999996</v>
      </c>
      <c r="E26" s="6">
        <v>33</v>
      </c>
      <c r="F26" s="9">
        <v>1</v>
      </c>
      <c r="G26" s="12">
        <f t="shared" si="1"/>
        <v>2279.9999999999995</v>
      </c>
      <c r="H26" s="12">
        <f t="shared" si="2"/>
        <v>2508</v>
      </c>
      <c r="I26" s="2"/>
      <c r="J26" s="2"/>
      <c r="K26" s="2"/>
    </row>
    <row r="27" spans="1:11" ht="16" x14ac:dyDescent="0.2">
      <c r="A27" s="9"/>
      <c r="B27" s="31"/>
      <c r="C27" s="35"/>
      <c r="D27" s="15">
        <f t="shared" ref="D27" si="3">IF(F27=1,(E27/1.1),(E27/1.2))</f>
        <v>0</v>
      </c>
      <c r="E27" s="6"/>
      <c r="F27" s="9">
        <v>1</v>
      </c>
      <c r="G27" s="12">
        <f t="shared" si="1"/>
        <v>0</v>
      </c>
      <c r="H27" s="12">
        <f t="shared" ref="H27" si="4">A27*E27</f>
        <v>0</v>
      </c>
      <c r="I27" s="2"/>
      <c r="J27" s="2"/>
      <c r="K27" s="2"/>
    </row>
    <row r="28" spans="1:11" ht="16" x14ac:dyDescent="0.2">
      <c r="A28" s="9"/>
      <c r="B28" s="31"/>
      <c r="C28" s="32"/>
      <c r="D28" s="15">
        <f t="shared" si="0"/>
        <v>0</v>
      </c>
      <c r="E28" s="6"/>
      <c r="F28" s="9">
        <v>1</v>
      </c>
      <c r="G28" s="12">
        <f t="shared" si="1"/>
        <v>0</v>
      </c>
      <c r="H28" s="12">
        <f t="shared" si="2"/>
        <v>0</v>
      </c>
      <c r="I28" s="2"/>
      <c r="J28" s="2"/>
      <c r="K28" s="2"/>
    </row>
    <row r="29" spans="1:11" ht="16" x14ac:dyDescent="0.2">
      <c r="A29" s="9"/>
      <c r="B29" s="31"/>
      <c r="C29" s="32"/>
      <c r="D29" s="15">
        <f t="shared" si="0"/>
        <v>0</v>
      </c>
      <c r="E29" s="6"/>
      <c r="F29" s="9">
        <v>1</v>
      </c>
      <c r="G29" s="12">
        <f t="shared" si="1"/>
        <v>0</v>
      </c>
      <c r="H29" s="12">
        <f t="shared" si="2"/>
        <v>0</v>
      </c>
      <c r="I29" s="2"/>
      <c r="J29" s="2"/>
      <c r="K29" s="2"/>
    </row>
    <row r="30" spans="1:11" ht="16" x14ac:dyDescent="0.2">
      <c r="A30" s="9"/>
      <c r="B30" s="45" t="s">
        <v>15</v>
      </c>
      <c r="C30" s="49"/>
      <c r="D30" s="15">
        <f t="shared" si="0"/>
        <v>0</v>
      </c>
      <c r="E30" s="6"/>
      <c r="F30" s="9">
        <v>1</v>
      </c>
      <c r="G30" s="12">
        <f t="shared" si="1"/>
        <v>0</v>
      </c>
      <c r="H30" s="12">
        <f t="shared" si="2"/>
        <v>0</v>
      </c>
      <c r="I30" s="3"/>
      <c r="J30" s="2"/>
      <c r="K30" s="2"/>
    </row>
    <row r="31" spans="1:11" ht="16" x14ac:dyDescent="0.2">
      <c r="A31" s="9"/>
      <c r="B31" s="45" t="s">
        <v>16</v>
      </c>
      <c r="C31" s="46"/>
      <c r="D31" s="14">
        <f t="shared" si="0"/>
        <v>0</v>
      </c>
      <c r="E31" s="6"/>
      <c r="F31" s="9">
        <v>1</v>
      </c>
      <c r="G31" s="12">
        <f t="shared" si="1"/>
        <v>0</v>
      </c>
      <c r="H31" s="12">
        <f t="shared" si="2"/>
        <v>0</v>
      </c>
      <c r="I31" s="2"/>
      <c r="J31" s="2"/>
      <c r="K31" s="2"/>
    </row>
    <row r="32" spans="1:11" ht="16" x14ac:dyDescent="0.2">
      <c r="A32" s="9"/>
      <c r="B32" s="45" t="s">
        <v>17</v>
      </c>
      <c r="C32" s="49"/>
      <c r="D32" s="14">
        <f t="shared" si="0"/>
        <v>0</v>
      </c>
      <c r="E32" s="6"/>
      <c r="F32" s="9">
        <v>1</v>
      </c>
      <c r="G32" s="12">
        <f t="shared" si="1"/>
        <v>0</v>
      </c>
      <c r="H32" s="12">
        <f t="shared" si="2"/>
        <v>0</v>
      </c>
      <c r="I32" s="2"/>
      <c r="J32" s="2"/>
      <c r="K32" s="2"/>
    </row>
    <row r="33" spans="1:11" ht="16" x14ac:dyDescent="0.2">
      <c r="A33" s="9"/>
      <c r="B33" s="31"/>
      <c r="C33" s="35"/>
      <c r="D33" s="14">
        <f t="shared" si="0"/>
        <v>0</v>
      </c>
      <c r="E33" s="6"/>
      <c r="F33" s="9">
        <v>1</v>
      </c>
      <c r="G33" s="12">
        <f t="shared" si="1"/>
        <v>0</v>
      </c>
      <c r="H33" s="12">
        <f t="shared" si="2"/>
        <v>0</v>
      </c>
      <c r="I33" s="2"/>
      <c r="J33" s="2"/>
      <c r="K33" s="2"/>
    </row>
    <row r="34" spans="1:11" ht="128" customHeight="1" x14ac:dyDescent="0.2">
      <c r="A34" s="10"/>
      <c r="B34" s="47"/>
      <c r="C34" s="48"/>
      <c r="D34" s="23">
        <f t="shared" si="0"/>
        <v>0</v>
      </c>
      <c r="E34" s="7"/>
      <c r="F34" s="10">
        <v>1</v>
      </c>
      <c r="G34" s="12">
        <f t="shared" si="1"/>
        <v>0</v>
      </c>
      <c r="H34" s="12">
        <f t="shared" si="2"/>
        <v>0</v>
      </c>
      <c r="I34" s="2"/>
      <c r="J34" s="2"/>
      <c r="K34" s="2"/>
    </row>
    <row r="35" spans="1:11" ht="18" x14ac:dyDescent="0.2">
      <c r="A35" s="1"/>
      <c r="B35" s="2"/>
      <c r="C35" s="2"/>
      <c r="D35" s="2"/>
      <c r="E35" s="36" t="s">
        <v>2</v>
      </c>
      <c r="F35" s="37"/>
      <c r="G35" s="38"/>
      <c r="H35" s="16">
        <v>2900.47</v>
      </c>
      <c r="I35" s="2"/>
      <c r="J35" s="2"/>
      <c r="K35" s="2"/>
    </row>
    <row r="36" spans="1:11" ht="18" x14ac:dyDescent="0.2">
      <c r="A36" s="1"/>
      <c r="B36" s="2"/>
      <c r="C36" s="2"/>
      <c r="D36" s="2"/>
      <c r="E36" s="17" t="s">
        <v>18</v>
      </c>
      <c r="F36" s="18">
        <v>1</v>
      </c>
      <c r="G36" s="19"/>
      <c r="H36" s="16">
        <v>159.53</v>
      </c>
      <c r="I36" s="2"/>
      <c r="J36" s="2"/>
      <c r="K36" s="2"/>
    </row>
    <row r="37" spans="1:11" ht="18" x14ac:dyDescent="0.2">
      <c r="A37" s="1"/>
      <c r="B37" s="2"/>
      <c r="C37" s="2"/>
      <c r="D37" s="2"/>
      <c r="E37" s="17" t="s">
        <v>7</v>
      </c>
      <c r="F37" s="18">
        <v>2</v>
      </c>
      <c r="G37" s="19"/>
      <c r="H37" s="16">
        <f>(SUMIF(F18:F31,2,G18:G31))*20/100</f>
        <v>0</v>
      </c>
      <c r="I37" s="2"/>
      <c r="J37" s="2"/>
      <c r="K37" s="2"/>
    </row>
    <row r="38" spans="1:11" ht="18" x14ac:dyDescent="0.2">
      <c r="A38" s="1"/>
      <c r="B38" s="2"/>
      <c r="C38" s="2"/>
      <c r="D38" s="2"/>
      <c r="E38" s="36" t="s">
        <v>3</v>
      </c>
      <c r="F38" s="37"/>
      <c r="G38" s="38"/>
      <c r="H38" s="16">
        <f>SUM(H18:H34)</f>
        <v>10252</v>
      </c>
      <c r="I38" s="3"/>
      <c r="J38" s="2"/>
      <c r="K38" s="2"/>
    </row>
    <row r="39" spans="1:11" ht="18" x14ac:dyDescent="0.2">
      <c r="A39" s="1"/>
      <c r="B39" s="2"/>
      <c r="C39" s="2"/>
      <c r="D39" s="2"/>
      <c r="E39" s="39" t="s">
        <v>14</v>
      </c>
      <c r="F39" s="40"/>
      <c r="G39" s="41"/>
      <c r="H39" s="4"/>
      <c r="I39" s="2"/>
      <c r="J39" s="2"/>
      <c r="K39" s="2"/>
    </row>
    <row r="40" spans="1:11" ht="18" x14ac:dyDescent="0.2">
      <c r="A40" s="1"/>
      <c r="B40" s="2"/>
      <c r="C40" s="2"/>
      <c r="D40" s="2"/>
      <c r="E40" s="42" t="s">
        <v>4</v>
      </c>
      <c r="F40" s="43"/>
      <c r="G40" s="44"/>
      <c r="H40" s="16">
        <f>IF(H39=0,(H38),(H38-H39))</f>
        <v>10252</v>
      </c>
      <c r="J40" s="2"/>
      <c r="K40" s="2"/>
    </row>
    <row r="41" spans="1:11" ht="6" customHeight="1" x14ac:dyDescent="0.2">
      <c r="A41" s="2" t="s">
        <v>5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8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8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8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8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6" x14ac:dyDescent="0.2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6" x14ac:dyDescent="0.2">
      <c r="B48" s="2"/>
      <c r="C48" s="2"/>
      <c r="D48" s="2"/>
      <c r="E48" s="2"/>
      <c r="F48" s="2"/>
      <c r="G48" s="2"/>
      <c r="H48" s="2"/>
      <c r="I48" s="2"/>
      <c r="J48" s="2"/>
      <c r="K48" s="2"/>
    </row>
  </sheetData>
  <mergeCells count="27">
    <mergeCell ref="E35:G35"/>
    <mergeCell ref="E38:G38"/>
    <mergeCell ref="E39:G39"/>
    <mergeCell ref="E40:G40"/>
    <mergeCell ref="B23:C23"/>
    <mergeCell ref="B31:C31"/>
    <mergeCell ref="B34:C34"/>
    <mergeCell ref="B24:C24"/>
    <mergeCell ref="B25:C25"/>
    <mergeCell ref="B28:C28"/>
    <mergeCell ref="B29:C29"/>
    <mergeCell ref="B30:C30"/>
    <mergeCell ref="B26:C26"/>
    <mergeCell ref="B27:C27"/>
    <mergeCell ref="B32:C32"/>
    <mergeCell ref="B33:C33"/>
    <mergeCell ref="B17:C17"/>
    <mergeCell ref="E3:H3"/>
    <mergeCell ref="B18:C18"/>
    <mergeCell ref="B19:C19"/>
    <mergeCell ref="B22:C22"/>
    <mergeCell ref="C15:D15"/>
    <mergeCell ref="E8:H8"/>
    <mergeCell ref="E9:H9"/>
    <mergeCell ref="E10:H10"/>
    <mergeCell ref="B20:C20"/>
    <mergeCell ref="B21:C21"/>
  </mergeCells>
  <phoneticPr fontId="5" type="noConversion"/>
  <pageMargins left="0" right="0" top="0.74803149606299213" bottom="0.74803149606299213" header="0.31496062992125984" footer="0.31496062992125984"/>
  <pageSetup paperSize="9" scale="87" orientation="portrait" horizontalDpi="4294967292" verticalDpi="4294967292"/>
  <headerFooter>
    <oddFooter>&amp;C&amp;"Times New Roman,Normal"&amp;K03+000EURL La Mise en Bouche - 226 rue de la Salle Polyvalente - 84410 CRILLON LE BRAVE 
Tél/Fax : 04.90.65.90.03 Portable 06.12.24.52.27
Siret 520 505 371 00010 
lemisenbouche@orange.fr-www.lemiseenbouche.fr</oddFooter>
  </headerFooter>
  <rowBreaks count="2" manualBreakCount="2">
    <brk id="46" max="16383" man="1"/>
    <brk id="54" max="16383" man="1"/>
  </rowBreaks>
  <colBreaks count="1" manualBreakCount="1">
    <brk id="9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workgroup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Orion-PC</dc:creator>
  <cp:lastModifiedBy>GILLES BEDOS</cp:lastModifiedBy>
  <cp:lastPrinted>2024-08-10T07:29:15Z</cp:lastPrinted>
  <dcterms:created xsi:type="dcterms:W3CDTF">2016-04-19T11:58:26Z</dcterms:created>
  <dcterms:modified xsi:type="dcterms:W3CDTF">2026-07-15T07:56:42Z</dcterms:modified>
</cp:coreProperties>
</file>