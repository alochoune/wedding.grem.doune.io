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 Général" sheetId="1" state="visible" r:id="rId1"/>
    <sheet xmlns:r="http://schemas.openxmlformats.org/officeDocument/2006/relationships" name="Détail Menus — Bastide d'Astres" sheetId="2" state="visible" r:id="rId2"/>
    <sheet xmlns:r="http://schemas.openxmlformats.org/officeDocument/2006/relationships" name="Simulation 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C8922A"/>
      <sz val="9"/>
    </font>
    <font>
      <name val="Arial"/>
      <color rgb="001A1A1A"/>
      <sz val="9"/>
    </font>
    <font>
      <name val="Arial"/>
      <color rgb="001A3A0A"/>
      <sz val="9"/>
    </font>
    <font>
      <name val="Arial"/>
      <color rgb="00AAAAAA"/>
      <sz val="9"/>
    </font>
    <font>
      <name val="Arial"/>
      <b val="1"/>
      <color rgb="002D5016"/>
      <sz val="8"/>
    </font>
    <font>
      <name val="Arial"/>
      <i val="1"/>
      <color rgb="00555555"/>
      <sz val="8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color rgb="000000CC"/>
      <sz val="10"/>
    </font>
    <font>
      <name val="Arial"/>
      <i val="1"/>
      <color rgb="00777777"/>
      <sz val="8"/>
    </font>
    <font>
      <name val="Arial"/>
      <b val="1"/>
      <color rgb="001A1A1A"/>
      <sz val="9"/>
    </font>
    <font>
      <name val="Arial"/>
      <color rgb="001A3A5C"/>
      <sz val="9"/>
    </font>
    <font>
      <name val="Arial"/>
      <color rgb="003A1A00"/>
      <sz val="9"/>
    </font>
  </fonts>
  <fills count="12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FFF3DC"/>
      </patternFill>
    </fill>
    <fill>
      <patternFill patternType="solid">
        <fgColor rgb="00FAF6EE"/>
      </patternFill>
    </fill>
    <fill>
      <patternFill patternType="solid">
        <fgColor rgb="00E8F0DD"/>
      </patternFill>
    </fill>
    <fill>
      <patternFill patternType="solid">
        <fgColor rgb="00F5F5F5"/>
      </patternFill>
    </fill>
    <fill>
      <patternFill patternType="solid">
        <fgColor rgb="00EEF4FF"/>
      </patternFill>
    </fill>
    <fill>
      <patternFill patternType="solid">
        <fgColor rgb="00FFFDE8"/>
      </patternFill>
    </fill>
    <fill>
      <patternFill patternType="solid">
        <fgColor rgb="00FFF8DC"/>
      </patternFill>
    </fill>
    <fill>
      <patternFill patternType="solid">
        <fgColor rgb="00E8F0FB"/>
      </patternFill>
    </fill>
    <fill>
      <patternFill patternType="solid">
        <fgColor rgb="00FBF0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11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A1" s="1" t="inlineStr">
        <is>
          <t>COMPARATIF DES LIEUX — MARIAGE EN PROVENCE 2028</t>
        </is>
      </c>
    </row>
    <row r="2" ht="10" customHeight="1"/>
    <row r="3" ht="36" customHeight="1">
      <c r="A3" s="2" t="inlineStr">
        <is>
          <t>CRITÈRE</t>
        </is>
      </c>
      <c r="C3" s="4" t="inlineStr">
        <is>
          <t>Bastide d'Astres</t>
        </is>
      </c>
      <c r="D3" s="4" t="inlineStr">
        <is>
          <t>Bastide Saint Julien</t>
        </is>
      </c>
      <c r="E3" s="4" t="inlineStr">
        <is>
          <t>Le Mas des Costes</t>
        </is>
      </c>
      <c r="F3" s="4" t="inlineStr">
        <is>
          <t>Domaine de Fangouse</t>
        </is>
      </c>
      <c r="G3" s="4" t="inlineStr">
        <is>
          <t>Château de Lourmarin</t>
        </is>
      </c>
    </row>
    <row r="4" ht="22" customHeight="1">
      <c r="A4" s="5" t="inlineStr">
        <is>
          <t>TARIFS LOCATION (week-end été)</t>
        </is>
      </c>
      <c r="B4" s="19" t="n"/>
      <c r="C4" s="19" t="n"/>
      <c r="D4" s="19" t="n"/>
      <c r="E4" s="19" t="n"/>
      <c r="F4" s="19" t="n"/>
      <c r="G4" s="19" t="n"/>
      <c r="H4" s="20" t="n"/>
    </row>
    <row r="5" ht="28" customHeight="1">
      <c r="A5" s="7" t="inlineStr">
        <is>
          <t>Location 1 jour (hors été)</t>
        </is>
      </c>
      <c r="B5" s="20" t="n"/>
      <c r="C5" s="9" t="inlineStr">
        <is>
          <t>10 500 – 13 000 €</t>
        </is>
      </c>
      <c r="D5" s="25" t="inlineStr">
        <is>
          <t>N/A — formule 3 jours uniquement</t>
        </is>
      </c>
      <c r="E5" s="26" t="inlineStr">
        <is>
          <t>6 500 € (juin-août)
4 900 € (mai/sept)
3 900 € (avril/oct)</t>
        </is>
      </c>
      <c r="F5" s="10" t="inlineStr">
        <is>
          <t>—  À compléter</t>
        </is>
      </c>
      <c r="G5" s="10" t="inlineStr">
        <is>
          <t>—  À compléter</t>
        </is>
      </c>
    </row>
    <row r="6" ht="28" customHeight="1">
      <c r="A6" s="7" t="inlineStr">
        <is>
          <t>Location 2 jours consécutifs (juin-août)</t>
        </is>
      </c>
      <c r="B6" s="20" t="n"/>
      <c r="C6" s="9" t="inlineStr">
        <is>
          <t>18 000 €</t>
        </is>
      </c>
      <c r="D6" s="25" t="inlineStr">
        <is>
          <t>17 000 € (haute saison, week-end, 3 jours)</t>
        </is>
      </c>
      <c r="E6" s="26" t="inlineStr">
        <is>
          <t>15 900 € (week-end, 3j/2n)</t>
        </is>
      </c>
      <c r="F6" s="10" t="inlineStr">
        <is>
          <t>—  À compléter</t>
        </is>
      </c>
      <c r="G6" s="10" t="inlineStr">
        <is>
          <t>—  À compléter</t>
        </is>
      </c>
    </row>
    <row r="7" ht="28" customHeight="1">
      <c r="A7" s="7" t="inlineStr">
        <is>
          <t>Location 2 jours (mai/sept)</t>
        </is>
      </c>
      <c r="B7" s="20" t="n"/>
      <c r="C7" s="9" t="inlineStr">
        <is>
          <t>16 000 €</t>
        </is>
      </c>
      <c r="D7" s="25" t="inlineStr">
        <is>
          <t>14 000 € (moy. saison, week-end, 3 jours)</t>
        </is>
      </c>
      <c r="E7" s="26" t="inlineStr">
        <is>
          <t>13 900 € (week-end, 3j/2n)</t>
        </is>
      </c>
      <c r="F7" s="10" t="inlineStr">
        <is>
          <t>—  À compléter</t>
        </is>
      </c>
      <c r="G7" s="10" t="inlineStr">
        <is>
          <t>—  À compléter</t>
        </is>
      </c>
    </row>
    <row r="8" ht="28" customHeight="1">
      <c r="A8" s="7" t="inlineStr">
        <is>
          <t>Réduction semaine</t>
        </is>
      </c>
      <c r="B8" s="20" t="n"/>
      <c r="C8" s="9" t="inlineStr">
        <is>
          <t>-25 %</t>
        </is>
      </c>
      <c r="D8" s="25" t="inlineStr">
        <is>
          <t>-21 % env. (13 500 € vs 17 000 € haute saison)</t>
        </is>
      </c>
      <c r="E8" s="26" t="inlineStr">
        <is>
          <t>12 900 € vs 15 900 € été
(≈ -19 %)</t>
        </is>
      </c>
      <c r="F8" s="10" t="inlineStr">
        <is>
          <t>—  À compléter</t>
        </is>
      </c>
      <c r="G8" s="10" t="inlineStr">
        <is>
          <t>—  À compléter</t>
        </is>
      </c>
    </row>
    <row r="9" ht="28" customHeight="1">
      <c r="A9" s="7" t="inlineStr">
        <is>
          <t>Welcome dinner possible</t>
        </is>
      </c>
      <c r="B9" s="20" t="n"/>
      <c r="C9" s="9" t="inlineStr">
        <is>
          <t>Oui (sur devis)</t>
        </is>
      </c>
      <c r="D9" s="25" t="inlineStr">
        <is>
          <t>Inclus dans la privatisation 3 jours (J1 16h → J3 17h)</t>
        </is>
      </c>
      <c r="E9" s="26" t="inlineStr">
        <is>
          <t>Oui — privatisation 3j dès vendredi 15h</t>
        </is>
      </c>
      <c r="F9" s="10" t="inlineStr">
        <is>
          <t>—  À compléter</t>
        </is>
      </c>
      <c r="G9" s="10" t="inlineStr">
        <is>
          <t>—  À compléter</t>
        </is>
      </c>
    </row>
    <row r="10" ht="22" customHeight="1">
      <c r="A10" s="5" t="inlineStr">
        <is>
          <t>RESTAURATION</t>
        </is>
      </c>
      <c r="B10" s="19" t="n"/>
      <c r="C10" s="19" t="n"/>
      <c r="D10" s="19" t="n"/>
      <c r="E10" s="19" t="n"/>
      <c r="F10" s="19" t="n"/>
      <c r="G10" s="19" t="n"/>
      <c r="H10" s="20" t="n"/>
    </row>
    <row r="11" ht="28" customHeight="1">
      <c r="A11" s="7" t="inlineStr">
        <is>
          <t>Traiteur exclusif ou libre</t>
        </is>
      </c>
      <c r="B11" s="20" t="n"/>
      <c r="C11" s="9" t="inlineStr">
        <is>
          <t>Chef exclusive maison</t>
        </is>
      </c>
      <c r="D11" s="25" t="inlineStr">
        <is>
          <t>Traiteurs référencés (sélection partenaires) — liste transmise</t>
        </is>
      </c>
      <c r="E11" s="26" t="inlineStr">
        <is>
          <t>100 % libre — aucun traiteur imposé
Aucun droit de bouchon</t>
        </is>
      </c>
      <c r="F11" s="10" t="inlineStr">
        <is>
          <t>—  À compléter</t>
        </is>
      </c>
      <c r="G11" s="10" t="inlineStr">
        <is>
          <t>—  À compléter</t>
        </is>
      </c>
    </row>
    <row r="12" ht="28" customHeight="1">
      <c r="A12" s="7" t="inlineStr">
        <is>
          <t>Menus disponibles</t>
        </is>
      </c>
      <c r="B12" s="20" t="n"/>
      <c r="C12" s="9" t="inlineStr">
        <is>
          <t>Menu 1 / Menu 2 / Menu 3</t>
        </is>
      </c>
      <c r="D12" s="25" t="inlineStr">
        <is>
          <t>Selon traiteur choisi parmi partenaires</t>
        </is>
      </c>
      <c r="E12" s="26" t="inlineStr">
        <is>
          <t>Entièrement libre — votre traiteur</t>
        </is>
      </c>
      <c r="F12" s="10" t="inlineStr">
        <is>
          <t>—  À compléter</t>
        </is>
      </c>
      <c r="G12" s="10" t="inlineStr">
        <is>
          <t>—  À compléter</t>
        </is>
      </c>
    </row>
    <row r="13" ht="28" customHeight="1">
      <c r="A13" s="7" t="inlineStr">
        <is>
          <t>Prix Menu 1 (cocktail + dîner)</t>
        </is>
      </c>
      <c r="B13" s="20" t="n"/>
      <c r="C13" s="9" t="inlineStr">
        <is>
          <t>116 € TTC/pers (100 p.)</t>
        </is>
      </c>
      <c r="D13" s="25" t="inlineStr">
        <is>
          <t>Non communiqué — dépend du traiteur</t>
        </is>
      </c>
      <c r="E13" s="26" t="inlineStr">
        <is>
          <t>Non applicable — traiteur libre</t>
        </is>
      </c>
      <c r="F13" s="10" t="inlineStr">
        <is>
          <t>—  À compléter</t>
        </is>
      </c>
      <c r="G13" s="10" t="inlineStr">
        <is>
          <t>—  À compléter</t>
        </is>
      </c>
    </row>
    <row r="14" ht="28" customHeight="1">
      <c r="A14" s="7" t="inlineStr">
        <is>
          <t>Prix Menu 2 (cocktail + dîner)</t>
        </is>
      </c>
      <c r="B14" s="20" t="n"/>
      <c r="C14" s="9" t="inlineStr">
        <is>
          <t>132 € TTC/pers (100 p.)</t>
        </is>
      </c>
      <c r="D14" s="25" t="inlineStr">
        <is>
          <t>Non communiqué — dépend du traiteur</t>
        </is>
      </c>
      <c r="E14" s="26" t="inlineStr">
        <is>
          <t>Non applicable — traiteur libre</t>
        </is>
      </c>
      <c r="F14" s="10" t="inlineStr">
        <is>
          <t>—  À compléter</t>
        </is>
      </c>
      <c r="G14" s="10" t="inlineStr">
        <is>
          <t>—  À compléter</t>
        </is>
      </c>
    </row>
    <row r="15" ht="28" customHeight="1">
      <c r="A15" s="7" t="inlineStr">
        <is>
          <t>Prix Menu 3 (cocktail + dîner)</t>
        </is>
      </c>
      <c r="B15" s="20" t="n"/>
      <c r="C15" s="9" t="inlineStr">
        <is>
          <t>132 € TTC/pers (100 p.)</t>
        </is>
      </c>
      <c r="D15" s="25" t="inlineStr">
        <is>
          <t>Non communiqué — dépend du traiteur</t>
        </is>
      </c>
      <c r="E15" s="26" t="inlineStr">
        <is>
          <t>Non applicable — traiteur libre</t>
        </is>
      </c>
      <c r="F15" s="10" t="inlineStr">
        <is>
          <t>—  À compléter</t>
        </is>
      </c>
      <c r="G15" s="10" t="inlineStr">
        <is>
          <t>—  À compléter</t>
        </is>
      </c>
    </row>
    <row r="16" ht="28" customHeight="1">
      <c r="A16" s="7" t="inlineStr">
        <is>
          <t>Droit de bouchon (vin/champagne)</t>
        </is>
      </c>
      <c r="B16" s="20" t="n"/>
      <c r="C16" s="9" t="inlineStr">
        <is>
          <t>Aucun — apport libre</t>
        </is>
      </c>
      <c r="D16" s="25" t="inlineStr">
        <is>
          <t>Vins du domaine proposés — droit de bouchon : non précisé</t>
        </is>
      </c>
      <c r="E16" s="26" t="inlineStr">
        <is>
          <t>Aucun — liberté totale</t>
        </is>
      </c>
      <c r="F16" s="10" t="inlineStr">
        <is>
          <t>—  À compléter</t>
        </is>
      </c>
      <c r="G16" s="10" t="inlineStr">
        <is>
          <t>—  À compléter</t>
        </is>
      </c>
    </row>
    <row r="17" ht="28" customHeight="1">
      <c r="A17" s="7" t="inlineStr">
        <is>
          <t>Cocktail : nb pièces Menu 1</t>
        </is>
      </c>
      <c r="B17" s="20" t="n"/>
      <c r="C17" s="9" t="inlineStr">
        <is>
          <t>18 pièces / 1h15-1h30</t>
        </is>
      </c>
      <c r="D17" s="25" t="inlineStr">
        <is>
          <t>Selon traiteur</t>
        </is>
      </c>
      <c r="E17" s="26" t="inlineStr">
        <is>
          <t>Selon traiteur</t>
        </is>
      </c>
      <c r="F17" s="10" t="inlineStr">
        <is>
          <t>—  À compléter</t>
        </is>
      </c>
      <c r="G17" s="10" t="inlineStr">
        <is>
          <t>—  À compléter</t>
        </is>
      </c>
    </row>
    <row r="18" ht="28" customHeight="1">
      <c r="A18" s="7" t="inlineStr">
        <is>
          <t>Cocktail : nb pièces Menu 2</t>
        </is>
      </c>
      <c r="B18" s="20" t="n"/>
      <c r="C18" s="9" t="inlineStr">
        <is>
          <t>25 pièces / 2h30-3h</t>
        </is>
      </c>
      <c r="D18" s="25" t="inlineStr">
        <is>
          <t>Selon traiteur</t>
        </is>
      </c>
      <c r="E18" s="26" t="inlineStr">
        <is>
          <t>Selon traiteur</t>
        </is>
      </c>
      <c r="F18" s="10" t="inlineStr">
        <is>
          <t>—  À compléter</t>
        </is>
      </c>
      <c r="G18" s="10" t="inlineStr">
        <is>
          <t>—  À compléter</t>
        </is>
      </c>
    </row>
    <row r="19" ht="28" customHeight="1">
      <c r="A19" s="7" t="inlineStr">
        <is>
          <t>Menu dégustation possible</t>
        </is>
      </c>
      <c r="B19" s="20" t="n"/>
      <c r="C19" s="9" t="inlineStr">
        <is>
          <t>Oui</t>
        </is>
      </c>
      <c r="D19" s="25" t="inlineStr">
        <is>
          <t>Selon traiteur</t>
        </is>
      </c>
      <c r="E19" s="26" t="inlineStr">
        <is>
          <t>Selon traiteur</t>
        </is>
      </c>
      <c r="F19" s="10" t="inlineStr">
        <is>
          <t>—  À compléter</t>
        </is>
      </c>
      <c r="G19" s="10" t="inlineStr">
        <is>
          <t>—  À compléter</t>
        </is>
      </c>
    </row>
    <row r="20" ht="28" customHeight="1">
      <c r="A20" s="7" t="inlineStr">
        <is>
          <t>Options nocturnes (burger, croque…)</t>
        </is>
      </c>
      <c r="B20" s="20" t="n"/>
      <c r="C20" s="9" t="inlineStr">
        <is>
          <t>Oui (sur devis)</t>
        </is>
      </c>
      <c r="D20" s="25" t="inlineStr">
        <is>
          <t>Selon traiteur</t>
        </is>
      </c>
      <c r="E20" s="26" t="inlineStr">
        <is>
          <t>Selon traiteur</t>
        </is>
      </c>
      <c r="F20" s="10" t="inlineStr">
        <is>
          <t>—  À compléter</t>
        </is>
      </c>
      <c r="G20" s="10" t="inlineStr">
        <is>
          <t>—  À compléter</t>
        </is>
      </c>
    </row>
    <row r="21" ht="28" customHeight="1">
      <c r="A21" s="7" t="inlineStr">
        <is>
          <t>Produits locaux / fait maison</t>
        </is>
      </c>
      <c r="B21" s="20" t="n"/>
      <c r="C21" s="9" t="inlineStr">
        <is>
          <t>Oui — producteurs locaux</t>
        </is>
      </c>
      <c r="D21" s="25" t="inlineStr">
        <is>
          <t>Traiteurs régionaux sélectionnés</t>
        </is>
      </c>
      <c r="E21" s="26" t="inlineStr">
        <is>
          <t>Selon traiteur choisi</t>
        </is>
      </c>
      <c r="F21" s="10" t="inlineStr">
        <is>
          <t>—  À compléter</t>
        </is>
      </c>
      <c r="G21" s="10" t="inlineStr">
        <is>
          <t>—  À compléter</t>
        </is>
      </c>
    </row>
    <row r="22" ht="22" customHeight="1">
      <c r="A22" s="5" t="inlineStr">
        <is>
          <t>HÉBERGEMENT INCLUS</t>
        </is>
      </c>
      <c r="B22" s="19" t="n"/>
      <c r="C22" s="19" t="n"/>
      <c r="D22" s="19" t="n"/>
      <c r="E22" s="19" t="n"/>
      <c r="F22" s="19" t="n"/>
      <c r="G22" s="19" t="n"/>
      <c r="H22" s="20" t="n"/>
    </row>
    <row r="23" ht="28" customHeight="1">
      <c r="A23" s="7" t="inlineStr">
        <is>
          <t>Nb chambres incluses</t>
        </is>
      </c>
      <c r="B23" s="20" t="n"/>
      <c r="C23" s="9" t="inlineStr">
        <is>
          <t>5 chambres prestige</t>
        </is>
      </c>
      <c r="D23" s="25" t="inlineStr">
        <is>
          <t>10 chambres doubles (20 personnes)</t>
        </is>
      </c>
      <c r="E23" s="26" t="inlineStr">
        <is>
          <t>6 chambres (1 master suite mariés,
2 suites, 3 chambres) + coin nuit + dortoir 4 p.
= 18 couchages</t>
        </is>
      </c>
      <c r="F23" s="10" t="inlineStr">
        <is>
          <t>—  À compléter</t>
        </is>
      </c>
      <c r="G23" s="10" t="inlineStr">
        <is>
          <t>—  À compléter</t>
        </is>
      </c>
    </row>
    <row r="24" ht="28" customHeight="1">
      <c r="A24" s="7" t="inlineStr">
        <is>
          <t>Capacité supplémentaire (chalet/gîte)</t>
        </is>
      </c>
      <c r="B24" s="20" t="n"/>
      <c r="C24" s="9" t="inlineStr">
        <is>
          <t>Chalet 6-8 pers.</t>
        </is>
      </c>
      <c r="D24" s="25" t="inlineStr">
        <is>
          <t>Aucun chalet/gîte mentionné</t>
        </is>
      </c>
      <c r="E24" s="26" t="inlineStr">
        <is>
          <t>Espace Tipis : 5 tipis (10 pers. supplémentaires)
250 € / tipi (2 pers.)
+ jacuzzi + douche + 2 WC + pétanque</t>
        </is>
      </c>
      <c r="F24" s="10" t="inlineStr">
        <is>
          <t>—  À compléter</t>
        </is>
      </c>
      <c r="G24" s="10" t="inlineStr">
        <is>
          <t>—  À compléter</t>
        </is>
      </c>
    </row>
    <row r="25" ht="28" customHeight="1">
      <c r="A25" s="7" t="inlineStr">
        <is>
          <t>Petits déjeuners inclus</t>
        </is>
      </c>
      <c r="B25" s="20" t="n"/>
      <c r="C25" s="9" t="inlineStr">
        <is>
          <t>Oui</t>
        </is>
      </c>
      <c r="D25" s="25" t="inlineStr">
        <is>
          <t>Oui</t>
        </is>
      </c>
      <c r="E25" s="26" t="inlineStr">
        <is>
          <t>Linge de maison inclus
(draps + serviettes)
Petits déj. non précisés</t>
        </is>
      </c>
      <c r="F25" s="10" t="inlineStr">
        <is>
          <t>—  À compléter</t>
        </is>
      </c>
      <c r="G25" s="10" t="inlineStr">
        <is>
          <t>—  À compléter</t>
        </is>
      </c>
    </row>
    <row r="26" ht="28" customHeight="1">
      <c r="A26" s="7" t="inlineStr">
        <is>
          <t>Location héberg. nuits supp.</t>
        </is>
      </c>
      <c r="B26" s="20" t="n"/>
      <c r="C26" s="9" t="inlineStr">
        <is>
          <t>Sur devis</t>
        </is>
      </c>
      <c r="D26" s="25" t="inlineStr">
        <is>
          <t>2 500 / 3 000 / 3 500 € selon saison</t>
        </is>
      </c>
      <c r="E26" s="26" t="inlineStr">
        <is>
          <t>1 000 € / nuit supplémentaire</t>
        </is>
      </c>
      <c r="F26" s="10" t="inlineStr">
        <is>
          <t>—  À compléter</t>
        </is>
      </c>
      <c r="G26" s="10" t="inlineStr">
        <is>
          <t>—  À compléter</t>
        </is>
      </c>
    </row>
    <row r="27" ht="22" customHeight="1">
      <c r="A27" s="5" t="inlineStr">
        <is>
          <t>ESPACES &amp; CAPACITÉ</t>
        </is>
      </c>
      <c r="B27" s="19" t="n"/>
      <c r="C27" s="19" t="n"/>
      <c r="D27" s="19" t="n"/>
      <c r="E27" s="19" t="n"/>
      <c r="F27" s="19" t="n"/>
      <c r="G27" s="19" t="n"/>
      <c r="H27" s="20" t="n"/>
    </row>
    <row r="28" ht="28" customHeight="1">
      <c r="A28" s="7" t="inlineStr">
        <is>
          <t>Superficie domaine</t>
        </is>
      </c>
      <c r="B28" s="20" t="n"/>
      <c r="C28" s="9" t="inlineStr">
        <is>
          <t>260 hectares</t>
        </is>
      </c>
      <c r="D28" s="25" t="inlineStr">
        <is>
          <t>Non précisée</t>
        </is>
      </c>
      <c r="E28" s="26" t="inlineStr">
        <is>
          <t>7 hectares entièrement clôturés
(mas 600 m²)</t>
        </is>
      </c>
      <c r="F28" s="10" t="inlineStr">
        <is>
          <t>—  À compléter</t>
        </is>
      </c>
      <c r="G28" s="10" t="inlineStr">
        <is>
          <t>—  À compléter</t>
        </is>
      </c>
    </row>
    <row r="29" ht="28" customHeight="1">
      <c r="A29" s="7" t="inlineStr">
        <is>
          <t>Salle principale</t>
        </is>
      </c>
      <c r="B29" s="20" t="n"/>
      <c r="C29" s="9" t="inlineStr">
        <is>
          <t>220 m²</t>
        </is>
      </c>
      <c r="D29" s="25" t="inlineStr">
        <is>
          <t>500 m² (réception &amp; soirée)</t>
        </is>
      </c>
      <c r="E29" s="26" t="inlineStr">
        <is>
          <t>Grange 160 m² climatisée
(poutres apparentes, ciel étoilé inclus)
+ office traiteur avec 4 frigos</t>
        </is>
      </c>
      <c r="F29" s="10" t="inlineStr">
        <is>
          <t>—  À compléter</t>
        </is>
      </c>
      <c r="G29" s="10" t="inlineStr">
        <is>
          <t>—  À compléter</t>
        </is>
      </c>
    </row>
    <row r="30" ht="28" customHeight="1">
      <c r="A30" s="7" t="inlineStr">
        <is>
          <t>Verrière / espace couvert</t>
        </is>
      </c>
      <c r="B30" s="20" t="n"/>
      <c r="C30" s="9" t="inlineStr">
        <is>
          <t>180 m² + terrasse 300 m²</t>
        </is>
      </c>
      <c r="D30" s="25" t="inlineStr">
        <is>
          <t>Salle 500 m² (structure bois/métal/verre)</t>
        </is>
      </c>
      <c r="E30" s="26" t="inlineStr">
        <is>
          <t>Tente nomade 220 m²
+ grange 160 m²</t>
        </is>
      </c>
      <c r="F30" s="10" t="inlineStr">
        <is>
          <t>—  À compléter</t>
        </is>
      </c>
      <c r="G30" s="10" t="inlineStr">
        <is>
          <t>—  À compléter</t>
        </is>
      </c>
    </row>
    <row r="31" ht="28" customHeight="1">
      <c r="A31" s="7" t="inlineStr">
        <is>
          <t>Espace cocktail extérieur</t>
        </is>
      </c>
      <c r="B31" s="20" t="n"/>
      <c r="C31" s="9" t="inlineStr">
        <is>
          <t>Terrasse piscine 450 m²</t>
        </is>
      </c>
      <c r="D31" s="25" t="inlineStr">
        <is>
          <t>Jardins méditerranéens, terrasses</t>
        </is>
      </c>
      <c r="E31" s="26" t="inlineStr">
        <is>
          <t>Cour principale 250 m²
+ pergola piscine 100 m²
+ nombreux jardins
+ oliveraie 1 ha + lavandes</t>
        </is>
      </c>
      <c r="F31" s="10" t="inlineStr">
        <is>
          <t>—  À compléter</t>
        </is>
      </c>
      <c r="G31" s="10" t="inlineStr">
        <is>
          <t>—  À compléter</t>
        </is>
      </c>
    </row>
    <row r="32" ht="28" customHeight="1">
      <c r="A32" s="7" t="inlineStr">
        <is>
          <t>Piscine</t>
        </is>
      </c>
      <c r="B32" s="20" t="n"/>
      <c r="C32" s="9" t="inlineStr">
        <is>
          <t>18 × 22 m (immense)</t>
        </is>
      </c>
      <c r="D32" s="25" t="inlineStr">
        <is>
          <t>Oui (accès J+1 brunch — fermée pendant mariage)</t>
        </is>
      </c>
      <c r="E32" s="26" t="inlineStr">
        <is>
          <t>Oui — chauffée 16 × 4 m</t>
        </is>
      </c>
      <c r="F32" s="10" t="inlineStr">
        <is>
          <t>—  À compléter</t>
        </is>
      </c>
      <c r="G32" s="10" t="inlineStr">
        <is>
          <t>—  À compléter</t>
        </is>
      </c>
    </row>
    <row r="33" ht="28" customHeight="1">
      <c r="A33" s="7" t="inlineStr">
        <is>
          <t>Capacité max. invités</t>
        </is>
      </c>
      <c r="B33" s="20" t="n"/>
      <c r="C33" s="9" t="inlineStr">
        <is>
          <t>140+ (dégressif)</t>
        </is>
      </c>
      <c r="D33" s="25" t="inlineStr">
        <is>
          <t>250 invités</t>
        </is>
      </c>
      <c r="E33" s="26" t="inlineStr">
        <is>
          <t>180 invités max.</t>
        </is>
      </c>
      <c r="F33" s="10" t="inlineStr">
        <is>
          <t>—  À compléter</t>
        </is>
      </c>
      <c r="G33" s="10" t="inlineStr">
        <is>
          <t>—  À compléter</t>
        </is>
      </c>
    </row>
    <row r="34" ht="28" customHeight="1">
      <c r="A34" s="7" t="inlineStr">
        <is>
          <t>Cérémonie laïque possible</t>
        </is>
      </c>
      <c r="B34" s="20" t="n"/>
      <c r="C34" s="9" t="inlineStr">
        <is>
          <t>Oui (parc / étang / orangerie)</t>
        </is>
      </c>
      <c r="D34" s="25" t="inlineStr">
        <is>
          <t>Oui (espace ombragé, sous les arbres, jardins)</t>
        </is>
      </c>
      <c r="E34" s="26" t="inlineStr">
        <is>
          <t>Oui — arche fixe incluse</t>
        </is>
      </c>
      <c r="F34" s="10" t="inlineStr">
        <is>
          <t>—  À compléter</t>
        </is>
      </c>
      <c r="G34" s="10" t="inlineStr">
        <is>
          <t>—  À compléter</t>
        </is>
      </c>
    </row>
    <row r="35" ht="28" customHeight="1">
      <c r="A35" s="7" t="inlineStr">
        <is>
          <t>Dîner ext. ET int. possible</t>
        </is>
      </c>
      <c r="B35" s="20" t="n"/>
      <c r="C35" s="9" t="inlineStr">
        <is>
          <t>Oui</t>
        </is>
      </c>
      <c r="D35" s="25" t="inlineStr">
        <is>
          <t>Oui (jardins + salle 500 m²)</t>
        </is>
      </c>
      <c r="E35" s="26" t="inlineStr">
        <is>
          <t>Oui (tente nomade + grange)</t>
        </is>
      </c>
      <c r="F35" s="10" t="inlineStr">
        <is>
          <t>—  À compléter</t>
        </is>
      </c>
      <c r="G35" s="10" t="inlineStr">
        <is>
          <t>—  À compléter</t>
        </is>
      </c>
    </row>
    <row r="36" ht="22" customHeight="1">
      <c r="A36" s="5" t="inlineStr">
        <is>
          <t>PRESTATIONS INCLUSES DANS LA LOCATION</t>
        </is>
      </c>
      <c r="B36" s="19" t="n"/>
      <c r="C36" s="19" t="n"/>
      <c r="D36" s="19" t="n"/>
      <c r="E36" s="19" t="n"/>
      <c r="F36" s="19" t="n"/>
      <c r="G36" s="19" t="n"/>
      <c r="H36" s="20" t="n"/>
    </row>
    <row r="37" ht="28" customHeight="1">
      <c r="A37" s="7" t="inlineStr">
        <is>
          <t>Tables rondes &amp; chaises Napoléon III</t>
        </is>
      </c>
      <c r="B37" s="20" t="n"/>
      <c r="C37" s="9" t="inlineStr">
        <is>
          <t>Oui</t>
        </is>
      </c>
      <c r="D37" s="25" t="inlineStr">
        <is>
          <t>Oui (tables rondes + chaises, 200 pers. max)</t>
        </is>
      </c>
      <c r="E37" s="26" t="inlineStr">
        <is>
          <t>Mobilier obligatoire via
Terre d'Ocre (-5% remise)
— arche de cérémonie fixe incluse</t>
        </is>
      </c>
      <c r="F37" s="10" t="inlineStr">
        <is>
          <t>—  À compléter</t>
        </is>
      </c>
      <c r="G37" s="10" t="inlineStr">
        <is>
          <t>—  À compléter</t>
        </is>
      </c>
    </row>
    <row r="38" ht="28" customHeight="1">
      <c r="A38" s="7" t="inlineStr">
        <is>
          <t>Vaisselle &amp; verrerie</t>
        </is>
      </c>
      <c r="B38" s="20" t="n"/>
      <c r="C38" s="9" t="inlineStr">
        <is>
          <t>Oui (porcelaine blanche)</t>
        </is>
      </c>
      <c r="D38" s="25" t="inlineStr">
        <is>
          <t>Non précisé — dépend du traiteur</t>
        </is>
      </c>
      <c r="E38" s="26" t="inlineStr">
        <is>
          <t>Non incluse — via traiteur
(office traiteur équipée sur place :
4 réfrigérateurs disponibles)</t>
        </is>
      </c>
      <c r="F38" s="10" t="inlineStr">
        <is>
          <t>—  À compléter</t>
        </is>
      </c>
      <c r="G38" s="10" t="inlineStr">
        <is>
          <t>—  À compléter</t>
        </is>
      </c>
    </row>
    <row r="39" ht="28" customHeight="1">
      <c r="A39" s="7" t="inlineStr">
        <is>
          <t>Nappage &amp; serviettes coton blanc</t>
        </is>
      </c>
      <c r="B39" s="20" t="n"/>
      <c r="C39" s="9" t="inlineStr">
        <is>
          <t>Oui</t>
        </is>
      </c>
      <c r="D39" s="25" t="inlineStr">
        <is>
          <t>Non précisé — dépend du traiteur</t>
        </is>
      </c>
      <c r="E39" s="26" t="inlineStr">
        <is>
          <t>Via traiteur ou partenaire mobilier</t>
        </is>
      </c>
      <c r="F39" s="10" t="inlineStr">
        <is>
          <t>—  À compléter</t>
        </is>
      </c>
      <c r="G39" s="10" t="inlineStr">
        <is>
          <t>—  À compléter</t>
        </is>
      </c>
    </row>
    <row r="40" ht="28" customHeight="1">
      <c r="A40" s="7" t="inlineStr">
        <is>
          <t>Photobooth + galerie internet</t>
        </is>
      </c>
      <c r="B40" s="20" t="n"/>
      <c r="C40" s="9" t="inlineStr">
        <is>
          <t>Oui</t>
        </is>
      </c>
      <c r="D40" s="25" t="inlineStr">
        <is>
          <t>Non mentionné</t>
        </is>
      </c>
      <c r="E40" s="26" t="inlineStr">
        <is>
          <t>Non inclus — livret Privilèges
(réductions partenaires)</t>
        </is>
      </c>
      <c r="F40" s="10" t="inlineStr">
        <is>
          <t>—  À compléter</t>
        </is>
      </c>
      <c r="G40" s="10" t="inlineStr">
        <is>
          <t>—  À compléter</t>
        </is>
      </c>
    </row>
    <row r="41" ht="28" customHeight="1">
      <c r="A41" s="7" t="inlineStr">
        <is>
          <t>Navette privée (00h30–05h00, 8 places)</t>
        </is>
      </c>
      <c r="B41" s="20" t="n"/>
      <c r="C41" s="9" t="inlineStr">
        <is>
          <t>Oui</t>
        </is>
      </c>
      <c r="D41" s="25" t="inlineStr">
        <is>
          <t>Non mentionnée</t>
        </is>
      </c>
      <c r="E41" s="26" t="inlineStr">
        <is>
          <t>Non incluse</t>
        </is>
      </c>
      <c r="F41" s="10" t="inlineStr">
        <is>
          <t>—  À compléter</t>
        </is>
      </c>
      <c r="G41" s="10" t="inlineStr">
        <is>
          <t>—  À compléter</t>
        </is>
      </c>
    </row>
    <row r="42" ht="28" customHeight="1">
      <c r="A42" s="7" t="inlineStr">
        <is>
          <t>Maître d'hôtel + service (1/15 conv.)</t>
        </is>
      </c>
      <c r="B42" s="20" t="n"/>
      <c r="C42" s="9" t="inlineStr">
        <is>
          <t>Oui</t>
        </is>
      </c>
      <c r="D42" s="25" t="inlineStr">
        <is>
          <t>Via traiteur partenaire</t>
        </is>
      </c>
      <c r="E42" s="26" t="inlineStr">
        <is>
          <t>Via traiteur choisi</t>
        </is>
      </c>
      <c r="F42" s="10" t="inlineStr">
        <is>
          <t>—  À compléter</t>
        </is>
      </c>
      <c r="G42" s="10" t="inlineStr">
        <is>
          <t>—  À compléter</t>
        </is>
      </c>
    </row>
    <row r="43" ht="28" customHeight="1">
      <c r="A43" s="7" t="inlineStr">
        <is>
          <t>Limitation horaire</t>
        </is>
      </c>
      <c r="B43" s="20" t="n"/>
      <c r="C43" s="9" t="inlineStr">
        <is>
          <t>Aucune</t>
        </is>
      </c>
      <c r="D43" s="25" t="inlineStr">
        <is>
          <t>Jusqu'à 4h du matin</t>
        </is>
      </c>
      <c r="E43" s="26" t="inlineStr">
        <is>
          <t>Musique lounge ext. jusqu'à 22h (65 dB)
Grange dancing 22h → 4h (95 dB)
Pas de dancing en extérieur
Conversation en cour possible après 4h</t>
        </is>
      </c>
      <c r="F43" s="10" t="inlineStr">
        <is>
          <t>—  À compléter</t>
        </is>
      </c>
      <c r="G43" s="10" t="inlineStr">
        <is>
          <t>—  À compléter</t>
        </is>
      </c>
    </row>
    <row r="44" ht="28" customHeight="1">
      <c r="A44" s="7" t="inlineStr">
        <is>
          <t>Maître-nageur (piscine)</t>
        </is>
      </c>
      <c r="B44" s="20" t="n"/>
      <c r="C44" s="9" t="inlineStr">
        <is>
          <t>Obligatoire — non inclus</t>
        </is>
      </c>
      <c r="D44" s="25" t="inlineStr">
        <is>
          <t>Inclus pour brunch J+1 (12h-17h)</t>
        </is>
      </c>
      <c r="E44" s="26" t="inlineStr">
        <is>
          <t>Non précisé</t>
        </is>
      </c>
      <c r="F44" s="10" t="inlineStr">
        <is>
          <t>—  À compléter</t>
        </is>
      </c>
      <c r="G44" s="10" t="inlineStr">
        <is>
          <t>—  À compléter</t>
        </is>
      </c>
    </row>
    <row r="45" ht="28" customHeight="1">
      <c r="A45" s="7" t="inlineStr">
        <is>
          <t>Cérémonie laïque (forfait)</t>
        </is>
      </c>
      <c r="B45" s="20" t="n"/>
      <c r="C45" s="9" t="inlineStr">
        <is>
          <t>2,50 € / pers.</t>
        </is>
      </c>
      <c r="D45" s="25" t="inlineStr">
        <is>
          <t>Incluse dans privatisation</t>
        </is>
      </c>
      <c r="E45" s="26" t="inlineStr">
        <is>
          <t>Arche incluse dans tarif</t>
        </is>
      </c>
      <c r="F45" s="10" t="inlineStr">
        <is>
          <t>—  À compléter</t>
        </is>
      </c>
      <c r="G45" s="10" t="inlineStr">
        <is>
          <t>—  À compléter</t>
        </is>
      </c>
    </row>
    <row r="46" ht="28" customHeight="1">
      <c r="A46" s="7" t="inlineStr">
        <is>
          <t>Wedding planner / Coord. jour J</t>
        </is>
      </c>
      <c r="B46" s="20" t="n"/>
      <c r="C46" s="9" t="inlineStr">
        <is>
          <t>Sur devis</t>
        </is>
      </c>
      <c r="D46" s="25" t="inlineStr">
        <is>
          <t>Non mentionné</t>
        </is>
      </c>
      <c r="E46" s="26" t="inlineStr">
        <is>
          <t>Régisseur soirée inclus</t>
        </is>
      </c>
      <c r="F46" s="10" t="inlineStr">
        <is>
          <t>—  À compléter</t>
        </is>
      </c>
      <c r="G46" s="10" t="inlineStr">
        <is>
          <t>—  À compléter</t>
        </is>
      </c>
    </row>
    <row r="47" ht="28" customHeight="1">
      <c r="A47" s="7" t="inlineStr">
        <is>
          <t>Centres de table / décoration</t>
        </is>
      </c>
      <c r="B47" s="20" t="n"/>
      <c r="C47" s="9" t="inlineStr">
        <is>
          <t>Sur devis</t>
        </is>
      </c>
      <c r="D47" s="25" t="inlineStr">
        <is>
          <t>Non mentionné — via traiteur</t>
        </is>
      </c>
      <c r="E47" s="26" t="inlineStr">
        <is>
          <t>Via partenaires (liste fournie)</t>
        </is>
      </c>
      <c r="F47" s="10" t="inlineStr">
        <is>
          <t>—  À compléter</t>
        </is>
      </c>
      <c r="G47" s="10" t="inlineStr">
        <is>
          <t>—  À compléter</t>
        </is>
      </c>
    </row>
    <row r="48" ht="22" customHeight="1">
      <c r="A48" s="5" t="inlineStr">
        <is>
          <t>TARIFICATION SELON EFFECTIF (menus)</t>
        </is>
      </c>
      <c r="B48" s="19" t="n"/>
      <c r="C48" s="19" t="n"/>
      <c r="D48" s="19" t="n"/>
      <c r="E48" s="19" t="n"/>
      <c r="F48" s="19" t="n"/>
      <c r="G48" s="19" t="n"/>
      <c r="H48" s="20" t="n"/>
    </row>
    <row r="49" ht="28" customHeight="1">
      <c r="A49" s="7" t="inlineStr">
        <is>
          <t>Base de calcul</t>
        </is>
      </c>
      <c r="B49" s="20" t="n"/>
      <c r="C49" s="9" t="inlineStr">
        <is>
          <t>100 personnes</t>
        </is>
      </c>
      <c r="D49" s="25" t="inlineStr">
        <is>
          <t>Forfait global (non par personne)</t>
        </is>
      </c>
      <c r="E49" s="26" t="inlineStr">
        <is>
          <t>Forfait global (non par personne)
Acompte 40% à signature
Solde 2 mois avant</t>
        </is>
      </c>
      <c r="F49" s="10" t="inlineStr">
        <is>
          <t>—  À compléter</t>
        </is>
      </c>
      <c r="G49" s="10" t="inlineStr">
        <is>
          <t>—  À compléter</t>
        </is>
      </c>
    </row>
    <row r="50" ht="28" customHeight="1">
      <c r="A50" s="7" t="inlineStr">
        <is>
          <t>Moins de 100 invités</t>
        </is>
      </c>
      <c r="B50" s="20" t="n"/>
      <c r="C50" s="9" t="inlineStr">
        <is>
          <t>+2 % / 10 invités de moins</t>
        </is>
      </c>
      <c r="D50" s="25" t="inlineStr">
        <is>
          <t>Même tarif forfaitaire</t>
        </is>
      </c>
      <c r="E50" s="26" t="inlineStr">
        <is>
          <t>Même tarif forfaitaire</t>
        </is>
      </c>
      <c r="F50" s="10" t="inlineStr">
        <is>
          <t>—  À compléter</t>
        </is>
      </c>
      <c r="G50" s="10" t="inlineStr">
        <is>
          <t>—  À compléter</t>
        </is>
      </c>
    </row>
    <row r="51" ht="28" customHeight="1">
      <c r="A51" s="7" t="inlineStr">
        <is>
          <t>Plus de 140 invités</t>
        </is>
      </c>
      <c r="B51" s="20" t="n"/>
      <c r="C51" s="9" t="inlineStr">
        <is>
          <t>-2 % / 20 invités de plus</t>
        </is>
      </c>
      <c r="D51" s="25" t="inlineStr">
        <is>
          <t>Même tarif forfaitaire (max 250)</t>
        </is>
      </c>
      <c r="E51" s="26" t="inlineStr">
        <is>
          <t>Même tarif forfaitaire (max 160)</t>
        </is>
      </c>
      <c r="F51" s="10" t="inlineStr">
        <is>
          <t>—  À compléter</t>
        </is>
      </c>
      <c r="G51" s="10" t="inlineStr">
        <is>
          <t>—  À compléter</t>
        </is>
      </c>
    </row>
    <row r="52" ht="22" customHeight="1">
      <c r="A52" s="5" t="inlineStr">
        <is>
          <t>ESTIMATION BUDGET TOTAL (80 invités, 2 j. été)</t>
        </is>
      </c>
      <c r="B52" s="19" t="n"/>
      <c r="C52" s="19" t="n"/>
      <c r="D52" s="19" t="n"/>
      <c r="E52" s="19" t="n"/>
      <c r="F52" s="19" t="n"/>
      <c r="G52" s="19" t="n"/>
      <c r="H52" s="20" t="n"/>
    </row>
    <row r="53" ht="28" customHeight="1">
      <c r="A53" s="7" t="inlineStr">
        <is>
          <t>Location (2 j. juin-août)</t>
        </is>
      </c>
      <c r="B53" s="20" t="n"/>
      <c r="C53" s="9" t="inlineStr">
        <is>
          <t>18 000 €</t>
        </is>
      </c>
      <c r="D53" s="25" t="inlineStr">
        <is>
          <t>17 000 € (formule week-end 3j haute saison)</t>
        </is>
      </c>
      <c r="E53" s="26" t="inlineStr">
        <is>
          <t>15 900 € (week-end 3j/2n été)</t>
        </is>
      </c>
      <c r="F53" s="10" t="inlineStr">
        <is>
          <t>—  À compléter</t>
        </is>
      </c>
      <c r="G53" s="10" t="inlineStr">
        <is>
          <t>—  À compléter</t>
        </is>
      </c>
    </row>
    <row r="54" ht="28" customHeight="1">
      <c r="A54" s="7" t="inlineStr">
        <is>
          <t>Restauration Menu 1 (80 p., ajust. -10%)</t>
        </is>
      </c>
      <c r="B54" s="20" t="n"/>
      <c r="C54" s="9" t="inlineStr">
        <is>
          <t>≈ 10 208 €</t>
        </is>
      </c>
      <c r="D54" s="25" t="inlineStr">
        <is>
          <t>Non chiffrable — devis traiteur requis</t>
        </is>
      </c>
      <c r="E54" s="26" t="inlineStr">
        <is>
          <t>Non chiffrable — traiteur libre
(estim. marché : 80-120 €/pers.)</t>
        </is>
      </c>
      <c r="F54" s="10" t="inlineStr">
        <is>
          <t>—  À compléter</t>
        </is>
      </c>
      <c r="G54" s="10" t="inlineStr">
        <is>
          <t>—  À compléter</t>
        </is>
      </c>
    </row>
    <row r="55" ht="28" customHeight="1">
      <c r="A55" s="7" t="inlineStr">
        <is>
          <t>Restauration Menu 2 / Menu 3 (80 p.)</t>
        </is>
      </c>
      <c r="B55" s="20" t="n"/>
      <c r="C55" s="9" t="inlineStr">
        <is>
          <t>≈ 11 616 €</t>
        </is>
      </c>
      <c r="D55" s="25" t="inlineStr">
        <is>
          <t>Non chiffrable — devis traiteur requis</t>
        </is>
      </c>
      <c r="E55" s="26" t="inlineStr">
        <is>
          <t>Non chiffrable — traiteur libre</t>
        </is>
      </c>
      <c r="F55" s="10" t="inlineStr">
        <is>
          <t>—  À compléter</t>
        </is>
      </c>
      <c r="G55" s="10" t="inlineStr">
        <is>
          <t>—  À compléter</t>
        </is>
      </c>
    </row>
    <row r="56" ht="28" customHeight="1">
      <c r="A56" s="7" t="inlineStr">
        <is>
          <t>Vins &amp; champagne (apport libre — estimé)</t>
        </is>
      </c>
      <c r="B56" s="20" t="n"/>
      <c r="C56" s="9" t="inlineStr">
        <is>
          <t>≈ 3 000 – 5 000 €</t>
        </is>
      </c>
      <c r="D56" s="25" t="inlineStr">
        <is>
          <t>Vins domaine proposés — tarif inconnu</t>
        </is>
      </c>
      <c r="E56" s="26" t="inlineStr">
        <is>
          <t>≈ 3 000 – 5 000 €
(aucun droit de bouchon)</t>
        </is>
      </c>
      <c r="F56" s="10" t="inlineStr">
        <is>
          <t>—  À compléter</t>
        </is>
      </c>
      <c r="G56" s="10" t="inlineStr">
        <is>
          <t>—  À compléter</t>
        </is>
      </c>
    </row>
    <row r="57" ht="28" customHeight="1">
      <c r="A57" s="7" t="inlineStr">
        <is>
          <t>Total estimé (hors DJ, photo, fleurs…)</t>
        </is>
      </c>
      <c r="B57" s="20" t="n"/>
      <c r="C57" s="9" t="inlineStr">
        <is>
          <t>≈ 31–35 k€ Menu 1
≈ 33–37 k€ Menu 2</t>
        </is>
      </c>
      <c r="D57" s="25" t="inlineStr">
        <is>
          <t>≥ 17 000 € (location) + traiteur à devis</t>
        </is>
      </c>
      <c r="E57" s="26" t="inlineStr">
        <is>
          <t>≈ 15 900 € location
+ traiteur libre (estim. 80–150 €/p. × 80 p. = 6 400–12 000 €)
+ mobilier Terre d'Ocre
Total estimé : ≈ 25–32 k€</t>
        </is>
      </c>
      <c r="F57" s="10" t="inlineStr">
        <is>
          <t>—  À compléter</t>
        </is>
      </c>
      <c r="G57" s="10" t="inlineStr">
        <is>
          <t>—  À compléter</t>
        </is>
      </c>
    </row>
    <row r="58" ht="22" customHeight="1">
      <c r="A58" s="5" t="inlineStr">
        <is>
          <t>POINTS FORTS &amp; VIGILANCE</t>
        </is>
      </c>
      <c r="B58" s="19" t="n"/>
      <c r="C58" s="19" t="n"/>
      <c r="D58" s="19" t="n"/>
      <c r="E58" s="19" t="n"/>
      <c r="F58" s="19" t="n"/>
      <c r="G58" s="19" t="n"/>
      <c r="H58" s="20" t="n"/>
    </row>
    <row r="59" ht="28" customHeight="1">
      <c r="A59" s="7" t="inlineStr">
        <is>
          <t>Points forts</t>
        </is>
      </c>
      <c r="B59" s="20" t="n"/>
      <c r="C59" s="9" t="inlineStr">
        <is>
          <t>Traiteur maison exclusif,
produits frais locaux,
no droit de bouchon,
grande piscine,
autonomie totale</t>
        </is>
      </c>
      <c r="D59" s="25" t="inlineStr">
        <is>
          <t>Salle 500 m² XXL,
10 chambres doubles,
soirée jusqu'à 4h,
traiteur libre choix parmi référencés,
parc roseraie,
piscine + fitness J+1,
-5% si résa avant 30 juil.</t>
        </is>
      </c>
      <c r="E59" s="26" t="inlineStr">
        <is>
          <t>Liberté totale traiteur &amp; vins,
office traiteur équipée (4 frigos),
tente nomade 220 m² OFFERTE (val. 4 500 €),
7 ha clôturés + lavandes + oliveraie,
tipis + jacuzzi en option,
local. Alpilles/Eygalières (prestige),
régisseur inclus,
food truck accepté,
camping-car parking accepté</t>
        </is>
      </c>
      <c r="F59" s="10" t="inlineStr">
        <is>
          <t>—  À compléter</t>
        </is>
      </c>
      <c r="G59" s="10" t="inlineStr">
        <is>
          <t>—  À compléter</t>
        </is>
      </c>
    </row>
    <row r="60" ht="28" customHeight="1">
      <c r="A60" s="7" t="inlineStr">
        <is>
          <t>Points de vigilance</t>
        </is>
      </c>
      <c r="B60" s="20" t="n"/>
      <c r="C60" s="9" t="inlineStr">
        <is>
          <t>Chef imposé (pas de BBQ
extérieur libre),
maître-nageur non inclus,
chambres limitées à 5+chalet</t>
        </is>
      </c>
      <c r="D60" s="25" t="inlineStr">
        <is>
          <t>Traiteur non exclusif maison
(qualité variable selon choix),
piscine fermée pendant mariage,
vin du domaine imposé (?),
droit de bouchon non confirmé</t>
        </is>
      </c>
      <c r="E60" s="26" t="inlineStr">
        <is>
          <t>Mobilier via Terre d'Ocre obligatoire,
musique dancing EXT impossible,
capacité max 180 invités,
18 couchages (tipis option payante),
navette non incluse (option),
pas de feu d'artifice
(zone incendie élevée)</t>
        </is>
      </c>
      <c r="F60" s="10" t="inlineStr">
        <is>
          <t>—  À compléter</t>
        </is>
      </c>
      <c r="G60" s="10" t="inlineStr">
        <is>
          <t>—  À compléter</t>
        </is>
      </c>
    </row>
    <row r="61" ht="28" customHeight="1">
      <c r="A61" s="7" t="inlineStr">
        <is>
          <t>Note globale (★ / 5)</t>
        </is>
      </c>
      <c r="B61" s="20" t="n"/>
      <c r="C61" s="9" t="inlineStr">
        <is>
          <t>★★★★☆ (4.8)</t>
        </is>
      </c>
      <c r="D61" s="25" t="inlineStr">
        <is>
          <t>★★★★★ (4.9)</t>
        </is>
      </c>
      <c r="E61" s="26" t="inlineStr">
        <is>
          <t>★★★★★ (4.9)</t>
        </is>
      </c>
      <c r="F61" s="10" t="inlineStr">
        <is>
          <t>—  À compléter</t>
        </is>
      </c>
      <c r="G61" s="10" t="inlineStr">
        <is>
          <t>—  À compléter</t>
        </is>
      </c>
    </row>
    <row r="62"/>
    <row r="63">
      <c r="A63" s="11" t="inlineStr">
        <is>
          <t>LÉGENDE</t>
        </is>
      </c>
    </row>
    <row r="64">
      <c r="A64" s="12" t="inlineStr">
        <is>
          <t xml:space="preserve">  Fond vert clair = données confirmées (Bastide d'Astres)   |   Fond gris = à compléter lors de réception des devis   |   ? = information manquante</t>
        </is>
      </c>
    </row>
  </sheetData>
  <mergeCells count="62">
    <mergeCell ref="A48:H48"/>
    <mergeCell ref="A24:B24"/>
    <mergeCell ref="A30:B30"/>
    <mergeCell ref="A15:B15"/>
    <mergeCell ref="A59:B59"/>
    <mergeCell ref="A60:B60"/>
    <mergeCell ref="A11:B11"/>
    <mergeCell ref="A49:B49"/>
    <mergeCell ref="A51:B51"/>
    <mergeCell ref="A45:B45"/>
    <mergeCell ref="A64:H64"/>
    <mergeCell ref="A36:H36"/>
    <mergeCell ref="A1:H1"/>
    <mergeCell ref="A61:B61"/>
    <mergeCell ref="A6:B6"/>
    <mergeCell ref="A16:B16"/>
    <mergeCell ref="A54:B54"/>
    <mergeCell ref="A7:B7"/>
    <mergeCell ref="A25:B25"/>
    <mergeCell ref="A41:B41"/>
    <mergeCell ref="A37:B37"/>
    <mergeCell ref="A46:B46"/>
    <mergeCell ref="A18:B18"/>
    <mergeCell ref="A56:B56"/>
    <mergeCell ref="A27:H27"/>
    <mergeCell ref="A3:B3"/>
    <mergeCell ref="A55:B55"/>
    <mergeCell ref="A12:B12"/>
    <mergeCell ref="A50:B50"/>
    <mergeCell ref="A26:B26"/>
    <mergeCell ref="A21:B21"/>
    <mergeCell ref="A57:B57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53:B53"/>
    <mergeCell ref="A22:H22"/>
    <mergeCell ref="A35:B35"/>
    <mergeCell ref="A4:H4"/>
    <mergeCell ref="A20:B20"/>
    <mergeCell ref="A38:B38"/>
    <mergeCell ref="A29:B29"/>
    <mergeCell ref="A43:B43"/>
    <mergeCell ref="A19:B19"/>
    <mergeCell ref="A63:H63"/>
    <mergeCell ref="A52:H52"/>
    <mergeCell ref="A10:H10"/>
    <mergeCell ref="A28:B28"/>
    <mergeCell ref="A13:B13"/>
    <mergeCell ref="A44:B44"/>
    <mergeCell ref="A58:H58"/>
    <mergeCell ref="A40:B40"/>
    <mergeCell ref="A9:B9"/>
    <mergeCell ref="A31:B31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 ht="36" customHeight="1">
      <c r="A1" s="13" t="inlineStr">
        <is>
          <t>BASTIDE D'ASTRES — DÉTAIL MENUS &amp; TARIFS</t>
        </is>
      </c>
    </row>
    <row r="3" ht="28" customHeight="1">
      <c r="A3" s="14" t="inlineStr">
        <is>
          <t>ÉLÉMENT</t>
        </is>
      </c>
      <c r="B3" s="14" t="inlineStr">
        <is>
          <t>CONTENU / DESCRIPTION</t>
        </is>
      </c>
      <c r="C3" s="14" t="inlineStr">
        <is>
          <t>MENU 1</t>
        </is>
      </c>
      <c r="D3" s="14" t="inlineStr">
        <is>
          <t>MENU 2</t>
        </is>
      </c>
      <c r="E3" s="14" t="inlineStr">
        <is>
          <t>MENU 3</t>
        </is>
      </c>
    </row>
    <row r="4" ht="20" customHeight="1">
      <c r="A4" s="5" t="inlineStr">
        <is>
          <t>COCKTAIL APÉRITIF</t>
        </is>
      </c>
      <c r="B4" s="19" t="n"/>
      <c r="C4" s="19" t="n"/>
      <c r="D4" s="19" t="n"/>
      <c r="E4" s="20" t="n"/>
    </row>
    <row r="5" ht="26" customHeight="1">
      <c r="A5" s="7" t="inlineStr">
        <is>
          <t>Durée</t>
        </is>
      </c>
      <c r="B5" s="7" t="inlineStr">
        <is>
          <t>1h15 – 1h30</t>
        </is>
      </c>
      <c r="C5" s="15" t="inlineStr">
        <is>
          <t>2h30 – 3h00</t>
        </is>
      </c>
      <c r="D5" s="15" t="inlineStr">
        <is>
          <t>1h15 – 1h30</t>
        </is>
      </c>
      <c r="E5" s="15" t="inlineStr"/>
    </row>
    <row r="6" ht="26" customHeight="1">
      <c r="A6" s="7" t="inlineStr">
        <is>
          <t>Nb pièces / personne</t>
        </is>
      </c>
      <c r="B6" s="7" t="inlineStr">
        <is>
          <t>18 pièces</t>
        </is>
      </c>
      <c r="C6" s="15" t="inlineStr">
        <is>
          <t>25 pièces</t>
        </is>
      </c>
      <c r="D6" s="15" t="inlineStr">
        <is>
          <t>18 pièces</t>
        </is>
      </c>
      <c r="E6" s="15" t="inlineStr"/>
    </row>
    <row r="7" ht="26" customHeight="1">
      <c r="A7" s="7" t="inlineStr">
        <is>
          <t>Planchas</t>
        </is>
      </c>
      <c r="B7" s="7" t="inlineStr">
        <is>
          <t>Lotte, volaille</t>
        </is>
      </c>
      <c r="C7" s="15" t="inlineStr">
        <is>
          <t>Magret, keftas, lotte, crevettes + Foie gras atelier</t>
        </is>
      </c>
      <c r="D7" s="15" t="inlineStr">
        <is>
          <t>Keftas, volaille, lotte</t>
        </is>
      </c>
      <c r="E7" s="15" t="inlineStr"/>
    </row>
    <row r="8" ht="26" customHeight="1">
      <c r="A8" s="7" t="inlineStr">
        <is>
          <t>Incontournables / Cornets Provence</t>
        </is>
      </c>
      <c r="B8" s="7" t="inlineStr">
        <is>
          <t>Foccacia, farcis provençaux, feuilletés, crumble aubergine, tapenade…</t>
        </is>
      </c>
      <c r="C8" s="15" t="inlineStr">
        <is>
          <t>Idem + tartelettes saumon, ravioles betterave, carpaccio tomate, mini burgers, scampis…</t>
        </is>
      </c>
      <c r="D8" s="15" t="inlineStr">
        <is>
          <t>Foccacia, navettes Aixoises, gaspacho, crumble aubergine, feuilletés…</t>
        </is>
      </c>
      <c r="E8" s="15" t="inlineStr"/>
    </row>
    <row r="9" ht="20" customHeight="1">
      <c r="A9" s="5" t="inlineStr">
        <is>
          <t>DÎNER</t>
        </is>
      </c>
      <c r="B9" s="19" t="n"/>
      <c r="C9" s="19" t="n"/>
      <c r="D9" s="19" t="n"/>
      <c r="E9" s="20" t="n"/>
    </row>
    <row r="10" ht="26" customHeight="1">
      <c r="A10" s="7" t="inlineStr">
        <is>
          <t>Mise en bouche</t>
        </is>
      </c>
      <c r="B10" s="7" t="inlineStr">
        <is>
          <t>Gaspacho tomates Provence / Velouté asperge</t>
        </is>
      </c>
      <c r="C10" s="15" t="inlineStr">
        <is>
          <t>— (inclus dans cocktail)</t>
        </is>
      </c>
      <c r="D10" s="15" t="inlineStr">
        <is>
          <t>Foie gras / Carpaccio tomates / Ceviche poisson</t>
        </is>
      </c>
      <c r="E10" s="15" t="inlineStr"/>
    </row>
    <row r="11" ht="26" customHeight="1">
      <c r="A11" s="7" t="inlineStr">
        <is>
          <t>Entrée (Menu 3)</t>
        </is>
      </c>
      <c r="B11" s="7" t="inlineStr">
        <is>
          <t>—</t>
        </is>
      </c>
      <c r="C11" s="15" t="inlineStr">
        <is>
          <t>—</t>
        </is>
      </c>
      <c r="D11" s="15" t="inlineStr">
        <is>
          <t>Foie gras, carpaccio ou ceviche</t>
        </is>
      </c>
      <c r="E11" s="15" t="inlineStr"/>
    </row>
    <row r="12" ht="26" customHeight="1">
      <c r="A12" s="7" t="inlineStr">
        <is>
          <t>Plat principal (options)</t>
        </is>
      </c>
      <c r="B12" s="7" t="inlineStr">
        <is>
          <t>Souris agneau / Pintadeau / Poisson</t>
        </is>
      </c>
      <c r="C12" s="15" t="inlineStr">
        <is>
          <t>Souris agneau / Pintadeau FG / Magret / Poisson / Carré agneau</t>
        </is>
      </c>
      <c r="D12" s="15" t="inlineStr">
        <is>
          <t>Souris agneau / Pintadeau FG / Magret / Poisson / Carré agneau</t>
        </is>
      </c>
      <c r="E12" s="15" t="inlineStr"/>
    </row>
    <row r="13" ht="26" customHeight="1">
      <c r="A13" s="7" t="inlineStr">
        <is>
          <t>Accompagnements</t>
        </is>
      </c>
      <c r="B13" s="7" t="inlineStr">
        <is>
          <t>Écrasé pomme de terre huile olive OU polenta mascarpone + tian OU riste légumes</t>
        </is>
      </c>
      <c r="C13" s="15" t="inlineStr">
        <is>
          <t>Idem Menu 1</t>
        </is>
      </c>
      <c r="D13" s="15" t="inlineStr">
        <is>
          <t>Idem Menu 1</t>
        </is>
      </c>
      <c r="E13" s="15" t="inlineStr"/>
    </row>
    <row r="14" ht="26" customHeight="1">
      <c r="A14" s="7" t="inlineStr">
        <is>
          <t>Fromage</t>
        </is>
      </c>
      <c r="B14" s="7" t="inlineStr">
        <is>
          <t>Ardoise avec pain campagne, raisin, noix, confitures maison</t>
        </is>
      </c>
      <c r="C14" s="15" t="inlineStr">
        <is>
          <t>Idem</t>
        </is>
      </c>
      <c r="D14" s="15" t="inlineStr">
        <is>
          <t>Idem</t>
        </is>
      </c>
      <c r="E14" s="15" t="inlineStr"/>
    </row>
    <row r="15" ht="26" customHeight="1">
      <c r="A15" s="7" t="inlineStr">
        <is>
          <t>Buffet desserts</t>
        </is>
      </c>
      <c r="B15" s="7" t="inlineStr">
        <is>
          <t>Pavlova, tarte fraises, Tropézienne, Millefeuille, tarte citron, Paris-Brest, Forêt Noire…</t>
        </is>
      </c>
      <c r="C15" s="15" t="inlineStr">
        <is>
          <t>Idem + assortiment macarons</t>
        </is>
      </c>
      <c r="D15" s="15" t="inlineStr">
        <is>
          <t>Idem + assortiment macarons</t>
        </is>
      </c>
      <c r="E15" s="15" t="inlineStr"/>
    </row>
    <row r="16" ht="26" customHeight="1">
      <c r="A16" s="7" t="inlineStr">
        <is>
          <t>Fruits frais</t>
        </is>
      </c>
      <c r="B16" s="7" t="inlineStr">
        <is>
          <t>Corbeille saisonnière</t>
        </is>
      </c>
      <c r="C16" s="15" t="inlineStr">
        <is>
          <t>Idem</t>
        </is>
      </c>
      <c r="D16" s="15" t="inlineStr">
        <is>
          <t>Idem</t>
        </is>
      </c>
      <c r="E16" s="15" t="inlineStr"/>
    </row>
    <row r="17" ht="26" customHeight="1">
      <c r="A17" s="7" t="inlineStr">
        <is>
          <t>Pièce montée</t>
        </is>
      </c>
      <c r="B17" s="7" t="inlineStr">
        <is>
          <t>Choux (vanille/chocolat/café) OU macarons</t>
        </is>
      </c>
      <c r="C17" s="15" t="inlineStr">
        <is>
          <t>Idem</t>
        </is>
      </c>
      <c r="D17" s="15" t="inlineStr">
        <is>
          <t>Choux OU macarons</t>
        </is>
      </c>
      <c r="E17" s="15" t="inlineStr"/>
    </row>
    <row r="18" ht="26" customHeight="1">
      <c r="A18" s="7" t="inlineStr">
        <is>
          <t>Wedding / Naked Cake</t>
        </is>
      </c>
      <c r="B18" s="7" t="inlineStr">
        <is>
          <t>—</t>
        </is>
      </c>
      <c r="C18" s="15" t="inlineStr">
        <is>
          <t>—</t>
        </is>
      </c>
      <c r="D18" s="15" t="inlineStr">
        <is>
          <t>En supplément sur devis</t>
        </is>
      </c>
      <c r="E18" s="15" t="inlineStr"/>
    </row>
    <row r="19" ht="20" customHeight="1">
      <c r="A19" s="5" t="inlineStr">
        <is>
          <t>BOISSONS (commun aux 3 menus)</t>
        </is>
      </c>
      <c r="B19" s="19" t="n"/>
      <c r="C19" s="19" t="n"/>
      <c r="D19" s="19" t="n"/>
      <c r="E19" s="20" t="n"/>
    </row>
    <row r="20" ht="26" customHeight="1">
      <c r="A20" s="7" t="inlineStr">
        <is>
          <t>Accueil rafraîchissements</t>
        </is>
      </c>
      <c r="B20" s="7" t="inlineStr">
        <is>
          <t>Thé glacé pêche, citronnade, menthe fraîche</t>
        </is>
      </c>
      <c r="C20" s="15" t="inlineStr">
        <is>
          <t>=</t>
        </is>
      </c>
      <c r="D20" s="15" t="inlineStr">
        <is>
          <t>=</t>
        </is>
      </c>
      <c r="E20" s="15" t="inlineStr"/>
    </row>
    <row r="21" ht="26" customHeight="1">
      <c r="A21" s="7" t="inlineStr">
        <is>
          <t>Softs apéritif</t>
        </is>
      </c>
      <c r="B21" s="7" t="inlineStr">
        <is>
          <t>Coca, jus orange/pomme/multifruits</t>
        </is>
      </c>
      <c r="C21" s="15" t="inlineStr">
        <is>
          <t>=</t>
        </is>
      </c>
      <c r="D21" s="15" t="inlineStr">
        <is>
          <t>=</t>
        </is>
      </c>
      <c r="E21" s="15" t="inlineStr"/>
    </row>
    <row r="22" ht="26" customHeight="1">
      <c r="A22" s="7" t="inlineStr">
        <is>
          <t>Alcools apéritif</t>
        </is>
      </c>
      <c r="B22" s="7" t="inlineStr">
        <is>
          <t>Pastis, whisky, Martini, Porto</t>
        </is>
      </c>
      <c r="C22" s="15" t="inlineStr">
        <is>
          <t>=</t>
        </is>
      </c>
      <c r="D22" s="15" t="inlineStr">
        <is>
          <t>=</t>
        </is>
      </c>
      <c r="E22" s="15" t="inlineStr"/>
    </row>
    <row r="23" ht="26" customHeight="1">
      <c r="A23" s="7" t="inlineStr">
        <is>
          <t>Cocktail apéritif au choix</t>
        </is>
      </c>
      <c r="B23" s="7" t="inlineStr">
        <is>
          <t>Punch / Soupe Champenoise / Spritz / Mojito</t>
        </is>
      </c>
      <c r="C23" s="15" t="inlineStr">
        <is>
          <t>=</t>
        </is>
      </c>
      <c r="D23" s="15" t="inlineStr">
        <is>
          <t>=</t>
        </is>
      </c>
      <c r="E23" s="15" t="inlineStr"/>
    </row>
    <row r="24" ht="26" customHeight="1">
      <c r="A24" s="7" t="inlineStr">
        <is>
          <t>Boissons repas &amp; soirée</t>
        </is>
      </c>
      <c r="B24" s="7" t="inlineStr">
        <is>
          <t>Eaux plates/pétillantes + thé/café</t>
        </is>
      </c>
      <c r="C24" s="15" t="inlineStr">
        <is>
          <t>=</t>
        </is>
      </c>
      <c r="D24" s="15" t="inlineStr">
        <is>
          <t>=</t>
        </is>
      </c>
      <c r="E24" s="15" t="inlineStr"/>
    </row>
    <row r="25" ht="26" customHeight="1">
      <c r="A25" s="7" t="inlineStr">
        <is>
          <t>Vin &amp; champagne</t>
        </is>
      </c>
      <c r="B25" s="7" t="inlineStr">
        <is>
          <t>Apport libre — aucun droit de bouchon</t>
        </is>
      </c>
      <c r="C25" s="15" t="inlineStr">
        <is>
          <t>=</t>
        </is>
      </c>
      <c r="D25" s="15" t="inlineStr">
        <is>
          <t>=</t>
        </is>
      </c>
      <c r="E25" s="15" t="inlineStr"/>
    </row>
    <row r="26" ht="20" customHeight="1">
      <c r="A26" s="5" t="inlineStr">
        <is>
          <t>TARIFS TTC (base 100 personnes)</t>
        </is>
      </c>
      <c r="B26" s="19" t="n"/>
      <c r="C26" s="19" t="n"/>
      <c r="D26" s="19" t="n"/>
      <c r="E26" s="20" t="n"/>
    </row>
    <row r="27" ht="26" customHeight="1">
      <c r="A27" s="7" t="inlineStr">
        <is>
          <t>Prix par personne (base 100)</t>
        </is>
      </c>
      <c r="B27" s="7" t="inlineStr">
        <is>
          <t>116 € TTC</t>
        </is>
      </c>
      <c r="C27" s="15" t="inlineStr">
        <is>
          <t>132 € TTC</t>
        </is>
      </c>
      <c r="D27" s="15" t="inlineStr">
        <is>
          <t>132 € TTC</t>
        </is>
      </c>
      <c r="E27" s="15" t="inlineStr"/>
    </row>
    <row r="28" ht="26" customHeight="1">
      <c r="A28" s="7" t="inlineStr">
        <is>
          <t>Ajustement &lt; 100 invités</t>
        </is>
      </c>
      <c r="B28" s="7" t="inlineStr">
        <is>
          <t>+2 % par tranche de 10 invités en moins</t>
        </is>
      </c>
      <c r="C28" s="15" t="inlineStr">
        <is>
          <t>=</t>
        </is>
      </c>
      <c r="D28" s="15" t="inlineStr">
        <is>
          <t>=</t>
        </is>
      </c>
      <c r="E28" s="15" t="inlineStr"/>
    </row>
    <row r="29" ht="26" customHeight="1">
      <c r="A29" s="7" t="inlineStr">
        <is>
          <t>Ajustement &gt; 140 invités</t>
        </is>
      </c>
      <c r="B29" s="7" t="inlineStr">
        <is>
          <t>-2 % par tranche de 20 invités en plus</t>
        </is>
      </c>
      <c r="C29" s="15" t="inlineStr">
        <is>
          <t>=</t>
        </is>
      </c>
      <c r="D29" s="15" t="inlineStr">
        <is>
          <t>=</t>
        </is>
      </c>
      <c r="E29" s="15" t="inlineStr"/>
    </row>
    <row r="30" ht="26" customHeight="1">
      <c r="A30" s="7" t="inlineStr">
        <is>
          <t>Exemple : 80 invités (+4%)</t>
        </is>
      </c>
      <c r="B30" s="7" t="inlineStr">
        <is>
          <t>≈ 120,64 € → total ≈ 9 651 €</t>
        </is>
      </c>
      <c r="C30" s="15" t="inlineStr">
        <is>
          <t>≈ 137,28 € → total ≈ 10 982 €</t>
        </is>
      </c>
      <c r="D30" s="15" t="inlineStr">
        <is>
          <t>≈ 137,28 € → total ≈ 10 982 €</t>
        </is>
      </c>
      <c r="E30" s="15" t="inlineStr"/>
    </row>
    <row r="31" ht="26" customHeight="1">
      <c r="A31" s="7" t="inlineStr">
        <is>
          <t>Exemple : 100 invités</t>
        </is>
      </c>
      <c r="B31" s="7" t="inlineStr">
        <is>
          <t>11 600 €</t>
        </is>
      </c>
      <c r="C31" s="15" t="inlineStr">
        <is>
          <t>13 200 €</t>
        </is>
      </c>
      <c r="D31" s="15" t="inlineStr">
        <is>
          <t>13 200 €</t>
        </is>
      </c>
      <c r="E31" s="15" t="inlineStr"/>
    </row>
    <row r="32" ht="20" customHeight="1">
      <c r="A32" s="5" t="inlineStr">
        <is>
          <t>OPTIONS SUPPLÉMENTAIRES (sur devis)</t>
        </is>
      </c>
      <c r="B32" s="19" t="n"/>
      <c r="C32" s="19" t="n"/>
      <c r="D32" s="19" t="n"/>
      <c r="E32" s="20" t="n"/>
    </row>
    <row r="33" ht="26" customHeight="1">
      <c r="A33" s="7" t="inlineStr">
        <is>
          <t>Atelier jambon cru Serrano</t>
        </is>
      </c>
      <c r="B33" s="7" t="inlineStr">
        <is>
          <t>Sur devis</t>
        </is>
      </c>
      <c r="C33" s="15" t="inlineStr">
        <is>
          <t>=</t>
        </is>
      </c>
      <c r="D33" s="15" t="inlineStr">
        <is>
          <t>=</t>
        </is>
      </c>
      <c r="E33" s="15" t="inlineStr"/>
    </row>
    <row r="34" ht="26" customHeight="1">
      <c r="A34" s="7" t="inlineStr">
        <is>
          <t>Atelier saumon Gravelax</t>
        </is>
      </c>
      <c r="B34" s="7" t="inlineStr">
        <is>
          <t>Sur devis</t>
        </is>
      </c>
      <c r="C34" s="15" t="inlineStr">
        <is>
          <t>=</t>
        </is>
      </c>
      <c r="D34" s="15" t="inlineStr">
        <is>
          <t>=</t>
        </is>
      </c>
      <c r="E34" s="15" t="inlineStr"/>
    </row>
    <row r="35" ht="26" customHeight="1">
      <c r="A35" s="7" t="inlineStr">
        <is>
          <t>Atelier ceviche &amp; fumoir</t>
        </is>
      </c>
      <c r="B35" s="7" t="inlineStr">
        <is>
          <t>Sur devis</t>
        </is>
      </c>
      <c r="C35" s="15" t="inlineStr">
        <is>
          <t>=</t>
        </is>
      </c>
      <c r="D35" s="15" t="inlineStr">
        <is>
          <t>=</t>
        </is>
      </c>
      <c r="E35" s="15" t="inlineStr"/>
    </row>
    <row r="36" ht="26" customHeight="1">
      <c r="A36" s="7" t="inlineStr">
        <is>
          <t>Atelier huîtres</t>
        </is>
      </c>
      <c r="B36" s="7" t="inlineStr">
        <is>
          <t>Sur devis</t>
        </is>
      </c>
      <c r="C36" s="15" t="inlineStr">
        <is>
          <t>=</t>
        </is>
      </c>
      <c r="D36" s="15" t="inlineStr">
        <is>
          <t>=</t>
        </is>
      </c>
      <c r="E36" s="15" t="inlineStr"/>
    </row>
    <row r="37" ht="26" customHeight="1">
      <c r="A37" s="7" t="inlineStr">
        <is>
          <t>Atelier foie gras (plancha)</t>
        </is>
      </c>
      <c r="B37" s="7" t="inlineStr">
        <is>
          <t>Sur devis</t>
        </is>
      </c>
      <c r="C37" s="15" t="inlineStr">
        <is>
          <t>=</t>
        </is>
      </c>
      <c r="D37" s="15" t="inlineStr">
        <is>
          <t>=</t>
        </is>
      </c>
      <c r="E37" s="15" t="inlineStr"/>
    </row>
    <row r="38" ht="26" customHeight="1">
      <c r="A38" s="7" t="inlineStr">
        <is>
          <t>Plancha végétarienne</t>
        </is>
      </c>
      <c r="B38" s="7" t="inlineStr">
        <is>
          <t>Sur devis</t>
        </is>
      </c>
      <c r="C38" s="15" t="inlineStr">
        <is>
          <t>=</t>
        </is>
      </c>
      <c r="D38" s="15" t="inlineStr">
        <is>
          <t>=</t>
        </is>
      </c>
      <c r="E38" s="15" t="inlineStr"/>
    </row>
    <row r="39" ht="26" customHeight="1">
      <c r="A39" s="7" t="inlineStr">
        <is>
          <t>Mise en bouche supp. (veloutés, St-Jacques…)</t>
        </is>
      </c>
      <c r="B39" s="7" t="inlineStr">
        <is>
          <t>Sur devis</t>
        </is>
      </c>
      <c r="C39" s="15" t="inlineStr">
        <is>
          <t>=</t>
        </is>
      </c>
      <c r="D39" s="15" t="inlineStr">
        <is>
          <t>=</t>
        </is>
      </c>
      <c r="E39" s="15" t="inlineStr"/>
    </row>
    <row r="40" ht="26" customHeight="1">
      <c r="A40" s="7" t="inlineStr">
        <is>
          <t>Plancha de la mer (St-Jacques, soupions, crevettes)</t>
        </is>
      </c>
      <c r="B40" s="7" t="inlineStr">
        <is>
          <t>Sur devis</t>
        </is>
      </c>
      <c r="C40" s="15" t="inlineStr">
        <is>
          <t>=</t>
        </is>
      </c>
      <c r="D40" s="15" t="inlineStr">
        <is>
          <t>=</t>
        </is>
      </c>
      <c r="E40" s="15" t="inlineStr"/>
    </row>
    <row r="41" ht="26" customHeight="1">
      <c r="A41" s="7" t="inlineStr">
        <is>
          <t>Entracte (trou normand / vénitien / provençal)</t>
        </is>
      </c>
      <c r="B41" s="7" t="inlineStr">
        <is>
          <t>Sur devis</t>
        </is>
      </c>
      <c r="C41" s="15" t="inlineStr">
        <is>
          <t>=</t>
        </is>
      </c>
      <c r="D41" s="15" t="inlineStr">
        <is>
          <t>=</t>
        </is>
      </c>
      <c r="E41" s="15" t="inlineStr"/>
    </row>
    <row r="42" ht="26" customHeight="1">
      <c r="A42" s="7" t="inlineStr">
        <is>
          <t>Options nocturnes (burger, croque, glace…)</t>
        </is>
      </c>
      <c r="B42" s="7" t="inlineStr">
        <is>
          <t>Sur devis (min. 30 pers.)</t>
        </is>
      </c>
      <c r="C42" s="15" t="inlineStr">
        <is>
          <t>=</t>
        </is>
      </c>
      <c r="D42" s="15" t="inlineStr">
        <is>
          <t>=</t>
        </is>
      </c>
      <c r="E42" s="15" t="inlineStr"/>
    </row>
    <row r="43" ht="26" customHeight="1">
      <c r="A43" s="7" t="inlineStr">
        <is>
          <t>Personnes présentes apéritif seulement</t>
        </is>
      </c>
      <c r="B43" s="7" t="inlineStr">
        <is>
          <t>57 € / pers</t>
        </is>
      </c>
      <c r="C43" s="15" t="inlineStr">
        <is>
          <t>65 € / pers</t>
        </is>
      </c>
      <c r="D43" s="15" t="inlineStr">
        <is>
          <t>59 € / pers</t>
        </is>
      </c>
      <c r="E43" s="15" t="inlineStr"/>
    </row>
    <row r="44" ht="26" customHeight="1">
      <c r="A44" s="7" t="inlineStr">
        <is>
          <t>Menu prestataire</t>
        </is>
      </c>
      <c r="B44" s="7" t="inlineStr">
        <is>
          <t>40 € TTC / pers</t>
        </is>
      </c>
      <c r="C44" s="15" t="inlineStr">
        <is>
          <t>=</t>
        </is>
      </c>
      <c r="D44" s="15" t="inlineStr">
        <is>
          <t>=</t>
        </is>
      </c>
      <c r="E44" s="15" t="inlineStr"/>
    </row>
    <row r="45" ht="26" customHeight="1">
      <c r="A45" s="7" t="inlineStr">
        <is>
          <t>Cérémonie laïque</t>
        </is>
      </c>
      <c r="B45" s="7" t="inlineStr">
        <is>
          <t>2,50 € TTC / pers</t>
        </is>
      </c>
      <c r="C45" s="15" t="inlineStr">
        <is>
          <t>=</t>
        </is>
      </c>
      <c r="D45" s="15" t="inlineStr">
        <is>
          <t>=</t>
        </is>
      </c>
      <c r="E45" s="15" t="inlineStr"/>
    </row>
    <row r="46" ht="26" customHeight="1">
      <c r="A46" s="7" t="inlineStr">
        <is>
          <t>Centres de table / décoration</t>
        </is>
      </c>
      <c r="B46" s="7" t="inlineStr">
        <is>
          <t>Sur devis</t>
        </is>
      </c>
      <c r="C46" s="15" t="inlineStr">
        <is>
          <t>=</t>
        </is>
      </c>
      <c r="D46" s="15" t="inlineStr">
        <is>
          <t>=</t>
        </is>
      </c>
      <c r="E46" s="15" t="inlineStr"/>
    </row>
    <row r="47" ht="26" customHeight="1">
      <c r="A47" s="7" t="inlineStr">
        <is>
          <t>Wedding planner / Coordination jour J</t>
        </is>
      </c>
      <c r="B47" s="7" t="inlineStr">
        <is>
          <t>Sur devis</t>
        </is>
      </c>
      <c r="C47" s="15" t="inlineStr">
        <is>
          <t>=</t>
        </is>
      </c>
      <c r="D47" s="15" t="inlineStr">
        <is>
          <t>=</t>
        </is>
      </c>
      <c r="E47" s="15" t="inlineStr"/>
    </row>
  </sheetData>
  <mergeCells count="6">
    <mergeCell ref="A4:E4"/>
    <mergeCell ref="A26:E26"/>
    <mergeCell ref="A19:E19"/>
    <mergeCell ref="A1:E1"/>
    <mergeCell ref="A32:E32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25" customWidth="1" min="6" max="6"/>
  </cols>
  <sheetData>
    <row r="1" ht="36" customHeight="1">
      <c r="A1" s="16" t="inlineStr">
        <is>
          <t>SIMULATION BUDGET — BASTIDE D'ASTRES (à adapter aux autres lieux)</t>
        </is>
      </c>
    </row>
    <row r="3" ht="22" customHeight="1">
      <c r="A3" s="17" t="inlineStr">
        <is>
          <t>▸  PARAMÈTRES — modifier les cellules en bleu</t>
        </is>
      </c>
    </row>
    <row r="4" ht="22" customHeight="1">
      <c r="A4" s="7" t="inlineStr">
        <is>
          <t>Nombre d'invités (repas)</t>
        </is>
      </c>
      <c r="B4" s="18" t="n">
        <v>80</v>
      </c>
      <c r="C4" s="6" t="n"/>
      <c r="D4" s="19" t="n"/>
      <c r="E4" s="19" t="n"/>
      <c r="F4" s="20" t="n"/>
    </row>
    <row r="5" ht="22" customHeight="1">
      <c r="A5" s="7" t="inlineStr">
        <is>
          <t>Nombre d'invités (apéritif seulement)</t>
        </is>
      </c>
      <c r="B5" s="18" t="n">
        <v>0</v>
      </c>
      <c r="C5" s="6" t="n"/>
      <c r="D5" s="19" t="n"/>
      <c r="E5" s="19" t="n"/>
      <c r="F5" s="20" t="n"/>
    </row>
    <row r="6" ht="22" customHeight="1">
      <c r="A6" s="7" t="inlineStr">
        <is>
          <t>Mois (été=1, mai/sept=2, autre=3)</t>
        </is>
      </c>
      <c r="B6" s="18" t="n">
        <v>1</v>
      </c>
      <c r="C6" s="6" t="n"/>
      <c r="D6" s="19" t="n"/>
      <c r="E6" s="19" t="n"/>
      <c r="F6" s="20" t="n"/>
    </row>
    <row r="7" ht="22" customHeight="1">
      <c r="A7" s="7" t="inlineStr">
        <is>
          <t>Durée location (1 jour=1, 2 jours=2)</t>
        </is>
      </c>
      <c r="B7" s="18" t="n">
        <v>2</v>
      </c>
      <c r="C7" s="6" t="n"/>
      <c r="D7" s="19" t="n"/>
      <c r="E7" s="19" t="n"/>
      <c r="F7" s="20" t="n"/>
    </row>
    <row r="8" ht="22" customHeight="1">
      <c r="A8" s="7" t="inlineStr">
        <is>
          <t>Menu choisi (1, 2 ou 3)</t>
        </is>
      </c>
      <c r="B8" s="18" t="n">
        <v>1</v>
      </c>
      <c r="C8" s="6" t="n"/>
      <c r="D8" s="19" t="n"/>
      <c r="E8" s="19" t="n"/>
      <c r="F8" s="20" t="n"/>
    </row>
    <row r="10" ht="22" customHeight="1">
      <c r="A10" s="17" t="inlineStr">
        <is>
          <t>▸  CALCUL AUTOMATIQUE</t>
        </is>
      </c>
    </row>
    <row r="11" ht="24" customHeight="1">
      <c r="A11" s="7" t="inlineStr">
        <is>
          <t>Location (2 j. juin-août)</t>
        </is>
      </c>
      <c r="B11" s="20" t="n"/>
      <c r="C11" s="21" t="inlineStr">
        <is>
          <t>18 000 €</t>
        </is>
      </c>
      <c r="D11" s="22" t="inlineStr"/>
    </row>
    <row r="12" ht="24" customHeight="1">
      <c r="A12" s="7" t="inlineStr">
        <is>
          <t>Ajustement invités sur menu</t>
        </is>
      </c>
      <c r="B12" s="20" t="n"/>
      <c r="C12" s="21" t="inlineStr">
        <is>
          <t>si &lt;100 : +2%/10 de moins</t>
        </is>
      </c>
      <c r="D12" s="22" t="inlineStr"/>
    </row>
    <row r="13" ht="24" customHeight="1">
      <c r="A13" s="7" t="inlineStr">
        <is>
          <t>Prix menu / pers. (ajusté)</t>
        </is>
      </c>
      <c r="B13" s="20" t="n"/>
      <c r="C13" s="21">
        <f>IF(B8=1,116,132)*IF(B4&lt;100,1+(INT((100-B4)/10)*0.02),IF(B4&gt;140,1-(INT((B4-140)/20)*0.02),1))</f>
        <v/>
      </c>
      <c r="D13" s="22" t="inlineStr">
        <is>
          <t>€ / pers.</t>
        </is>
      </c>
    </row>
    <row r="14" ht="24" customHeight="1">
      <c r="A14" s="7" t="inlineStr">
        <is>
          <t>Coût restauration (repas)</t>
        </is>
      </c>
      <c r="B14" s="20" t="n"/>
      <c r="C14" s="21">
        <f>C12*B4</f>
        <v/>
      </c>
      <c r="D14" s="22" t="inlineStr">
        <is>
          <t>€</t>
        </is>
      </c>
    </row>
    <row r="15" ht="24" customHeight="1">
      <c r="A15" s="7" t="inlineStr">
        <is>
          <t>Coût apéritif seul (si applicable)</t>
        </is>
      </c>
      <c r="B15" s="20" t="n"/>
      <c r="C15" s="21">
        <f>IF(B5&gt;0,IF(B8=1,57,IF(B8=2,65,59))*B5,0)</f>
        <v/>
      </c>
      <c r="D15" s="22" t="inlineStr">
        <is>
          <t>€</t>
        </is>
      </c>
    </row>
    <row r="16" ht="24" customHeight="1">
      <c r="A16" s="7" t="inlineStr">
        <is>
          <t>Vin &amp; champagne (estimé)</t>
        </is>
      </c>
      <c r="B16" s="20" t="n"/>
      <c r="C16" s="21">
        <f>B4*35</f>
        <v/>
      </c>
      <c r="D16" s="22" t="inlineStr">
        <is>
          <t>€  (≈ 35 €/pers. — à ajuster)</t>
        </is>
      </c>
    </row>
    <row r="17" ht="24" customHeight="1">
      <c r="A17" s="7" t="inlineStr"/>
      <c r="B17" s="20" t="n"/>
      <c r="C17" s="21" t="n"/>
      <c r="D17" s="22" t="inlineStr"/>
    </row>
    <row r="18" ht="24" customHeight="1">
      <c r="A18" s="23" t="inlineStr">
        <is>
          <t>TOTAL ESTIMÉ (hors DJ, photo, fleurs, officiant)</t>
        </is>
      </c>
      <c r="B18" s="20" t="n"/>
      <c r="C18" s="24">
        <f>18000+C13+C14+C15</f>
        <v/>
      </c>
      <c r="D18" s="22" t="inlineStr">
        <is>
          <t>€</t>
        </is>
      </c>
    </row>
  </sheetData>
  <mergeCells count="24">
    <mergeCell ref="D13:F13"/>
    <mergeCell ref="D11:F11"/>
    <mergeCell ref="A15:B15"/>
    <mergeCell ref="C8:F8"/>
    <mergeCell ref="A11:B11"/>
    <mergeCell ref="C7:F7"/>
    <mergeCell ref="D17:F17"/>
    <mergeCell ref="A3:F3"/>
    <mergeCell ref="D16:F16"/>
    <mergeCell ref="A16:B16"/>
    <mergeCell ref="C6:F6"/>
    <mergeCell ref="D12:F12"/>
    <mergeCell ref="D18:F18"/>
    <mergeCell ref="A18:B18"/>
    <mergeCell ref="C5:F5"/>
    <mergeCell ref="D15:F15"/>
    <mergeCell ref="A12:B12"/>
    <mergeCell ref="A10:F10"/>
    <mergeCell ref="D14:F14"/>
    <mergeCell ref="C4:F4"/>
    <mergeCell ref="A14:B14"/>
    <mergeCell ref="A17:B17"/>
    <mergeCell ref="A1:F1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2026-06-29T07:40:30Z</dcterms:created>
  <dcterms:modified xmlns:dcterms="http://purl.org/dc/terms/" xmlns:xsi="http://www.w3.org/2001/XMLSchema-instance" xsi:type="dcterms:W3CDTF">2026-06-29T07:48:27Z</dcterms:modified>
</cp:coreProperties>
</file>