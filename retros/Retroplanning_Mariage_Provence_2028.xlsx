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🗓️ Rétro-Planning" sheetId="1" state="visible" r:id="rId3"/>
    <sheet name="💰 Budget" sheetId="2" state="visible" r:id="rId4"/>
    <sheet name="📞 Prestataires" sheetId="3" state="visible" r:id="rId5"/>
  </sheets>
  <definedNames>
    <definedName function="false" hidden="true" localSheetId="2" name="_xlnm._FilterDatabase" vbProcedure="false">'📞 Prestataires'!$A$2:$G$19</definedName>
    <definedName function="false" hidden="true" localSheetId="0" name="_xlnm._FilterDatabase" vbProcedure="false">'🗓️ Rétro-Planning'!$A$3:$G$79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<sst xmlns="http://schemas.openxmlformats.org/spreadsheetml/2006/main" count="489" uniqueCount="242">
  <si>
    <t xml:space="preserve">💍  RÉTRO-PLANNING MARIAGE EN PROVENCE  —  JUILLET 2028</t>
  </si>
  <si>
    <t xml:space="preserve">Date du mariage : 19 juillet 2028  |  Lieu : Provence  |  ~60–100 invités</t>
  </si>
  <si>
    <t xml:space="preserve">#</t>
  </si>
  <si>
    <t xml:space="preserve">Tâche</t>
  </si>
  <si>
    <t xml:space="preserve">Catégorie</t>
  </si>
  <si>
    <t xml:space="preserve">Échéance cible</t>
  </si>
  <si>
    <t xml:space="preserve">Statut</t>
  </si>
  <si>
    <t xml:space="preserve">Priorité</t>
  </si>
  <si>
    <t xml:space="preserve">Notes / Détails</t>
  </si>
  <si>
    <t xml:space="preserve">   J − 24 mois  (Été / Automne 2026)  —  Fondations &amp; réservations prioritaires</t>
  </si>
  <si>
    <t xml:space="preserve">Fixer la date de mariage</t>
  </si>
  <si>
    <t xml:space="preserve">Organisation générale</t>
  </si>
  <si>
    <t xml:space="preserve">07/2026</t>
  </si>
  <si>
    <t xml:space="preserve">Fait ✓</t>
  </si>
  <si>
    <t xml:space="preserve">🔴 Urgent</t>
  </si>
  <si>
    <t xml:space="preserve">Vérifier disponibilités familles &amp; lieu</t>
  </si>
  <si>
    <t xml:space="preserve">Définir le budget global</t>
  </si>
  <si>
    <t xml:space="preserve">Budget</t>
  </si>
  <si>
    <t xml:space="preserve">En cours</t>
  </si>
  <si>
    <t xml:space="preserve">~40 000 € — clarifier si tout inclus ou hors contribution fixe</t>
  </si>
  <si>
    <t xml:space="preserve">Établir la liste des invités (1ère version)</t>
  </si>
  <si>
    <t xml:space="preserve">Invités</t>
  </si>
  <si>
    <t xml:space="preserve">À faire</t>
  </si>
  <si>
    <t xml:space="preserve">60 à 100 personnes, pas d'enfants</t>
  </si>
  <si>
    <t xml:space="preserve">Visiter &amp; réserver le lieu de réception</t>
  </si>
  <si>
    <t xml:space="preserve">Lieu</t>
  </si>
  <si>
    <t xml:space="preserve">Châteaux/bastides Provence — envoyer les demandes de devis</t>
  </si>
  <si>
    <t xml:space="preserve">   J − 22 mois  —  </t>
  </si>
  <si>
    <t xml:space="preserve">Signer le contrat du lieu &amp; verser l'acompte</t>
  </si>
  <si>
    <t xml:space="preserve">09/2026</t>
  </si>
  <si>
    <t xml:space="preserve">Vérifier politique annulation &amp; report</t>
  </si>
  <si>
    <t xml:space="preserve">Choisir &amp; annoncer les témoins</t>
  </si>
  <si>
    <t xml:space="preserve">🟠 Important</t>
  </si>
  <si>
    <t xml:space="preserve">4 témoins max (2 par époux) — prévoir moment spécial</t>
  </si>
  <si>
    <t xml:space="preserve">Créer le site web du mariage</t>
  </si>
  <si>
    <t xml:space="preserve">Communication</t>
  </si>
  <si>
    <t xml:space="preserve">Moodboard HTML déjà ébauché — ajouter RSVP, programme, infos pratiques</t>
  </si>
  <si>
    <t xml:space="preserve">Ouvrir une liste de mariage</t>
  </si>
  <si>
    <t xml:space="preserve">🟡 Normal</t>
  </si>
  <si>
    <t xml:space="preserve">Liste cadeau ou liste voyage / expériences</t>
  </si>
  <si>
    <t xml:space="preserve">Choisir le photographe &amp; vidéaste</t>
  </si>
  <si>
    <t xml:space="preserve">Prestataires</t>
  </si>
  <si>
    <t xml:space="preserve">Book, style, tarif, disponibilité — acompte à verser</t>
  </si>
  <si>
    <t xml:space="preserve">Rechercher &amp; choisir le traiteur</t>
  </si>
  <si>
    <t xml:space="preserve">Traiteur</t>
  </si>
  <si>
    <t xml:space="preserve">BBQ élégant : viandes grillées, poissons entiers, mignardises — vérifier exclusivité lieu</t>
  </si>
  <si>
    <t xml:space="preserve">   J − 18 mois  (Hiver 2026 / 2027)  —  Prestataires clés &amp; communications</t>
  </si>
  <si>
    <t xml:space="preserve">Signer contrat traiteur &amp; verser acompte</t>
  </si>
  <si>
    <t xml:space="preserve">01/2027</t>
  </si>
  <si>
    <t xml:space="preserve">Menu dégustation à organiser</t>
  </si>
  <si>
    <t xml:space="preserve">Choisir la robe de mariée (1ère essayage)</t>
  </si>
  <si>
    <t xml:space="preserve">Tenues</t>
  </si>
  <si>
    <t xml:space="preserve">Délais créateur/atelier jusqu'à 12 mois</t>
  </si>
  <si>
    <t xml:space="preserve">Choisir les tenues du marié &amp; des témoins</t>
  </si>
  <si>
    <t xml:space="preserve">Costume, couleur, cohérence avec la mariée</t>
  </si>
  <si>
    <t xml:space="preserve">Sélectionner le DJ / orchestre</t>
  </si>
  <si>
    <t xml:space="preserve">Musique</t>
  </si>
  <si>
    <t xml:space="preserve">Soirée dansante — DJ avec playlist sur mesure ou groupe live</t>
  </si>
  <si>
    <t xml:space="preserve">   J − 17 mois  —  </t>
  </si>
  <si>
    <t xml:space="preserve">Signer contrat DJ &amp; verser acompte</t>
  </si>
  <si>
    <t xml:space="preserve">02/2027</t>
  </si>
  <si>
    <t xml:space="preserve">Inclure plage horaire, matériel son/lumière</t>
  </si>
  <si>
    <t xml:space="preserve">Choisir le fleuriste &amp; définir la déco florale</t>
  </si>
  <si>
    <t xml:space="preserve">Décoration</t>
  </si>
  <si>
    <t xml:space="preserve">Esprit naturel, végétal, champêtre chic — blanc, vert, or</t>
  </si>
  <si>
    <t xml:space="preserve">Réserver les hébergements pour les invités VIP</t>
  </si>
  <si>
    <t xml:space="preserve">Logistique</t>
  </si>
  <si>
    <t xml:space="preserve">Capacité sur place + liste hôtels/chambres d'hôtes à proximité</t>
  </si>
  <si>
    <t xml:space="preserve">Envoyer les save-the-date</t>
  </si>
  <si>
    <t xml:space="preserve">Par email ou courrier — inclure lien site web</t>
  </si>
  <si>
    <t xml:space="preserve">Contacter l'officiant de cérémonie laïque</t>
  </si>
  <si>
    <t xml:space="preserve">Cérémonie</t>
  </si>
  <si>
    <t xml:space="preserve">Officiant laïque ou ami — vérifier disponibilité</t>
  </si>
  <si>
    <t xml:space="preserve">Prévoir le transport des invités (navettes)</t>
  </si>
  <si>
    <t xml:space="preserve">Bus/minibus depuis gare ou hôtels — prestataire navette</t>
  </si>
  <si>
    <t xml:space="preserve">   J − 15 mois  (Printemps 2027)  —  Tenues, cérémonie &amp; papeterie</t>
  </si>
  <si>
    <t xml:space="preserve">Choisir la pâtisserie / wedding cake</t>
  </si>
  <si>
    <t xml:space="preserve">04/2027</t>
  </si>
  <si>
    <t xml:space="preserve">Pièce montée ou naked cake — dégustation obligatoire</t>
  </si>
  <si>
    <t xml:space="preserve">Choisir le papetier (faire-part, menus, plan de table)</t>
  </si>
  <si>
    <t xml:space="preserve">Cohérence graphique avec site web — typographie élégante</t>
  </si>
  <si>
    <t xml:space="preserve">Définir les textes &amp; vœux de cérémonie</t>
  </si>
  <si>
    <t xml:space="preserve">Avec l'officiant — personnaliser la cérémonie</t>
  </si>
  <si>
    <t xml:space="preserve">Choisir le coiffeur &amp; maquilleur (mariée + témoins)</t>
  </si>
  <si>
    <t xml:space="preserve">Beauté</t>
  </si>
  <si>
    <t xml:space="preserve">Essai coiffure + maquillage à planifier</t>
  </si>
  <si>
    <t xml:space="preserve">Réserver la salle de répétition ou briefing J-1</t>
  </si>
  <si>
    <t xml:space="preserve">Réunion avec les témoins &amp; prestataires clés</t>
  </si>
  <si>
    <t xml:space="preserve">   J − 12 mois  (Été 2027)  —  Faire-part &amp; détails</t>
  </si>
  <si>
    <t xml:space="preserve">Envoyer les faire-part officiels</t>
  </si>
  <si>
    <t xml:space="preserve">07/2027</t>
  </si>
  <si>
    <t xml:space="preserve">Inclure carton RSVP ou lien vers site web</t>
  </si>
  <si>
    <t xml:space="preserve">Finaliser la liste des invités définitive</t>
  </si>
  <si>
    <t xml:space="preserve">Confirmer les régimes alimentaires particuliers</t>
  </si>
  <si>
    <t xml:space="preserve">2ème essayage robe de mariée</t>
  </si>
  <si>
    <t xml:space="preserve">Vérifier les retouches nécessaires</t>
  </si>
  <si>
    <t xml:space="preserve">Choisir les alliances</t>
  </si>
  <si>
    <t xml:space="preserve">Bijoux &amp; accessoires</t>
  </si>
  <si>
    <t xml:space="preserve">Or, platine — gravure possible</t>
  </si>
  <si>
    <t xml:space="preserve">Constituer la playlist cérémonie + vin d'honneur</t>
  </si>
  <si>
    <t xml:space="preserve">Entrée mariée, sortie, ambiance cocktail — avec DJ</t>
  </si>
  <si>
    <t xml:space="preserve">Choisir le prestataire photos booth / animation</t>
  </si>
  <si>
    <t xml:space="preserve">Animation</t>
  </si>
  <si>
    <t xml:space="preserve">Photobooth, polaroids, jeux, feu d'artifice...</t>
  </si>
  <si>
    <t xml:space="preserve">Réserver la voiture des mariés</t>
  </si>
  <si>
    <t xml:space="preserve">2CV, Citroën DS, cabriolet — charme provençal</t>
  </si>
  <si>
    <t xml:space="preserve">Réserver le coiffeur &amp; maquilleur officiellement</t>
  </si>
  <si>
    <t xml:space="preserve">Contrat + acompte</t>
  </si>
  <si>
    <t xml:space="preserve">   J − 9 mois   (Automne 2027)  —  Finalisation déco &amp; organisation</t>
  </si>
  <si>
    <t xml:space="preserve">Définir le plan de table (1ère version)</t>
  </si>
  <si>
    <t xml:space="preserve">10/2027</t>
  </si>
  <si>
    <t xml:space="preserve">Logiciel plan de table ou tableur — équilibrer les groupes</t>
  </si>
  <si>
    <t xml:space="preserve">Finaliser le menu avec le traiteur</t>
  </si>
  <si>
    <t xml:space="preserve">Dégustation finale — nombre exact de convives par plat</t>
  </si>
  <si>
    <t xml:space="preserve">Préparer le livret de cérémonie</t>
  </si>
  <si>
    <t xml:space="preserve">Programme, textes, paroles de chanson — à imprimer</t>
  </si>
  <si>
    <t xml:space="preserve">Commander les décorations (bougies, chevalets...)</t>
  </si>
  <si>
    <t xml:space="preserve">Veiller à la cohérence des matières : lin, rotin, terre cuite</t>
  </si>
  <si>
    <t xml:space="preserve">Organiser le dîner de répétition / week-end VIP</t>
  </si>
  <si>
    <t xml:space="preserve">Vendredi soir : souper informel pour les proches</t>
  </si>
  <si>
    <t xml:space="preserve">Choisir les cadeaux invités (dragées, souvenirs)</t>
  </si>
  <si>
    <t xml:space="preserve">🟢 Flexible</t>
  </si>
  <si>
    <t xml:space="preserve">Savon de Marseille, miel de Provence, calisson...</t>
  </si>
  <si>
    <t xml:space="preserve">Souscrire une assurance mariage</t>
  </si>
  <si>
    <t xml:space="preserve">Couvre annulation, intempéries, défaillance prestataire</t>
  </si>
  <si>
    <t xml:space="preserve">   J − 6 mois   (Hiver 2027 / 2028)  —  Confirmations &amp; administratif</t>
  </si>
  <si>
    <t xml:space="preserve">Confirmer les réservations de tous les prestataires</t>
  </si>
  <si>
    <t xml:space="preserve">01/2028</t>
  </si>
  <si>
    <t xml:space="preserve">Vérifier contrats, acomptes versés, détails logistiques</t>
  </si>
  <si>
    <t xml:space="preserve">Envoyer les informations logistiques aux invités</t>
  </si>
  <si>
    <t xml:space="preserve">Hébergements, navettes, programme du week-end</t>
  </si>
  <si>
    <t xml:space="preserve">Faire l'essai coiffure &amp; maquillage</t>
  </si>
  <si>
    <t xml:space="preserve">Photographier le résultat pour validation</t>
  </si>
  <si>
    <t xml:space="preserve">3ème essayage robe (essayage final)</t>
  </si>
  <si>
    <t xml:space="preserve">Avec chaussures et accessoires définitifs</t>
  </si>
  <si>
    <t xml:space="preserve">Préparer le dossier mairie (livret de famille, etc.)</t>
  </si>
  <si>
    <t xml:space="preserve">Administratif</t>
  </si>
  <si>
    <t xml:space="preserve">Publication des bans — obligatoire 10 jours avant</t>
  </si>
  <si>
    <t xml:space="preserve">Rédiger les discours (mariés, témoins, parents)</t>
  </si>
  <si>
    <t xml:space="preserve">Coaching si besoin — durée idéale 3–5 min chacun</t>
  </si>
  <si>
    <t xml:space="preserve">   J − 3 mois   (Printemps 2028)  —  Derniers préparatifs</t>
  </si>
  <si>
    <t xml:space="preserve">Confirmer les effectifs définitifs au traiteur</t>
  </si>
  <si>
    <t xml:space="preserve">04/2028</t>
  </si>
  <si>
    <t xml:space="preserve">Nombre exact de couverts, régimes alimentaires</t>
  </si>
  <si>
    <t xml:space="preserve">Finaliser le plan de table définitif</t>
  </si>
  <si>
    <t xml:space="preserve">Imprimer les marque-places et panneaux de table</t>
  </si>
  <si>
    <t xml:space="preserve">Préparer les enveloppes paiement prestataires (Jour J)</t>
  </si>
  <si>
    <t xml:space="preserve">Vérifier soldes restants à verser le jour J</t>
  </si>
  <si>
    <t xml:space="preserve">Créer le planning minute par minute du Jour J</t>
  </si>
  <si>
    <t xml:space="preserve">Partager avec témoins, traiteur, DJ, photographe</t>
  </si>
  <si>
    <t xml:space="preserve">Constituer la liste de chansons soirée avec DJ</t>
  </si>
  <si>
    <t xml:space="preserve">Incontournables, coups de cœur, chansons à éviter</t>
  </si>
  <si>
    <t xml:space="preserve">Commander/récupérer toutes les tenues</t>
  </si>
  <si>
    <t xml:space="preserve">Robe, costume, tenues témoins — dernier essayage</t>
  </si>
  <si>
    <t xml:space="preserve">   J − 1 mois   (Juin 2028)  —  Ultimes vérifications</t>
  </si>
  <si>
    <t xml:space="preserve">Reconfirmer chaque prestataire par téléphone</t>
  </si>
  <si>
    <t xml:space="preserve">06/2028</t>
  </si>
  <si>
    <t xml:space="preserve">Heure d'arrivée, accès lieu, besoins techniques</t>
  </si>
  <si>
    <t xml:space="preserve">Préparer les bagages &amp; lune de miel</t>
  </si>
  <si>
    <t xml:space="preserve">Documents de voyage, réservations hôtels etc.</t>
  </si>
  <si>
    <t xml:space="preserve">Remettre le planning J aux témoins &amp; coordinateur</t>
  </si>
  <si>
    <t xml:space="preserve">Chacun connaît son rôle et son horaire</t>
  </si>
  <si>
    <t xml:space="preserve">Récupérer alliances, bijoux, accessoires</t>
  </si>
  <si>
    <t xml:space="preserve">Vérifier gravures, taille</t>
  </si>
  <si>
    <t xml:space="preserve">Publier les bans en mairie</t>
  </si>
  <si>
    <t xml:space="preserve">Au moins 10 jours avant — parfois plus selon commune</t>
  </si>
  <si>
    <t xml:space="preserve">   SEMAINE DU MARIAGE  —  Juillet 2028  —  C'est le grand week-end ! 💐</t>
  </si>
  <si>
    <t xml:space="preserve">Livraison &amp; installation déco fleurs (J-1)</t>
  </si>
  <si>
    <t xml:space="preserve">Juillet 2028</t>
  </si>
  <si>
    <t xml:space="preserve">Coordination avec fleuriste et lieu</t>
  </si>
  <si>
    <t xml:space="preserve">Briefing avec le DJ (J-1 ou matin J)</t>
  </si>
  <si>
    <t xml:space="preserve">Playlist finale, timing, volume, transitions</t>
  </si>
  <si>
    <t xml:space="preserve">Coiffure &amp; maquillage mariée (matin J)</t>
  </si>
  <si>
    <t xml:space="preserve">Prévoir 3–4h — commencer à 8h</t>
  </si>
  <si>
    <t xml:space="preserve">Cérémonie laïque</t>
  </si>
  <si>
    <t xml:space="preserve">~16h — vœux, lectures, musique</t>
  </si>
  <si>
    <t xml:space="preserve">Vin d'honneur &amp; photos</t>
  </si>
  <si>
    <t xml:space="preserve">Jour J</t>
  </si>
  <si>
    <t xml:space="preserve">~17h30 — cocktail extérieur, photos de groupe</t>
  </si>
  <si>
    <t xml:space="preserve">Dîner de gala &amp; soirée dansante</t>
  </si>
  <si>
    <t xml:space="preserve">~19h30 — discours, dîner, ouverture bal, soirée</t>
  </si>
  <si>
    <t xml:space="preserve">Brunch du lendemain (dimanche)</t>
  </si>
  <si>
    <t xml:space="preserve">~11h — brunch champêtre pour les hébergés</t>
  </si>
  <si>
    <t xml:space="preserve">💰  BUDGET MARIAGE — PROVENCE 2028</t>
  </si>
  <si>
    <t xml:space="preserve">Poste de dépense</t>
  </si>
  <si>
    <t xml:space="preserve">Budget estimé (€)</t>
  </si>
  <si>
    <t xml:space="preserve">Réel / Devis (€)</t>
  </si>
  <si>
    <t xml:space="preserve">Acompte versé (€)</t>
  </si>
  <si>
    <t xml:space="preserve">Notes</t>
  </si>
  <si>
    <t xml:space="preserve">Lieu de réception (week-end)</t>
  </si>
  <si>
    <t xml:space="preserve">Vendredi–Dimanche, hébergement inclus</t>
  </si>
  <si>
    <t xml:space="preserve">Traiteur (dîner + brunch)</t>
  </si>
  <si>
    <t xml:space="preserve">BBQ élégant, 80 pers. ~ 175 €/pers.</t>
  </si>
  <si>
    <t xml:space="preserve">Traiteur – vin d'honneur</t>
  </si>
  <si>
    <t xml:space="preserve">Champagne, canapés</t>
  </si>
  <si>
    <t xml:space="preserve">Traiteur – boissons</t>
  </si>
  <si>
    <t xml:space="preserve">Vins, eaux, softs, café</t>
  </si>
  <si>
    <t xml:space="preserve">Wedding cake / pièce montée</t>
  </si>
  <si>
    <t xml:space="preserve">Photographe</t>
  </si>
  <si>
    <t xml:space="preserve">Journée complète + retouches</t>
  </si>
  <si>
    <t xml:space="preserve">Vidéaste</t>
  </si>
  <si>
    <t xml:space="preserve">Court-métrage + brut</t>
  </si>
  <si>
    <t xml:space="preserve">DJ / musiciens</t>
  </si>
  <si>
    <t xml:space="preserve">Soirée dansante + vin d'honneur</t>
  </si>
  <si>
    <t xml:space="preserve">Fleuriste &amp; décoration</t>
  </si>
  <si>
    <t xml:space="preserve">Cérémonie + tables + arche</t>
  </si>
  <si>
    <t xml:space="preserve">Faire-part &amp; papeterie</t>
  </si>
  <si>
    <t xml:space="preserve">Faire-part, menus, marque-places</t>
  </si>
  <si>
    <t xml:space="preserve">Robe de mariée</t>
  </si>
  <si>
    <t xml:space="preserve">Robe + accessoires + chaussures</t>
  </si>
  <si>
    <t xml:space="preserve">Costume marié + tenues témoins</t>
  </si>
  <si>
    <t xml:space="preserve">Coiffure &amp; maquillage</t>
  </si>
  <si>
    <t xml:space="preserve">Mariée + 2 témoines</t>
  </si>
  <si>
    <t xml:space="preserve">Alliances</t>
  </si>
  <si>
    <t xml:space="preserve">Or / platine</t>
  </si>
  <si>
    <t xml:space="preserve">Navettes &amp; transport</t>
  </si>
  <si>
    <t xml:space="preserve">Bus invités</t>
  </si>
  <si>
    <t xml:space="preserve">Voiture des mariés</t>
  </si>
  <si>
    <t xml:space="preserve">Vintage</t>
  </si>
  <si>
    <t xml:space="preserve">Animation &amp; photobooth</t>
  </si>
  <si>
    <t xml:space="preserve">Cadeaux invités</t>
  </si>
  <si>
    <t xml:space="preserve">Savon, miel de Provence...</t>
  </si>
  <si>
    <t xml:space="preserve">Divers &amp; imprévus (5%)</t>
  </si>
  <si>
    <t xml:space="preserve">Calculé automatiquement (5% du total)</t>
  </si>
  <si>
    <t xml:space="preserve">TOTAL</t>
  </si>
  <si>
    <t xml:space="preserve">📞  CARNET DE PRESTATAIRES</t>
  </si>
  <si>
    <t xml:space="preserve">Nom / Société</t>
  </si>
  <si>
    <t xml:space="preserve">Contact</t>
  </si>
  <si>
    <t xml:space="preserve">Téléphone</t>
  </si>
  <si>
    <t xml:space="preserve">Tarif (€)</t>
  </si>
  <si>
    <t xml:space="preserve">À confirmer</t>
  </si>
  <si>
    <t xml:space="preserve">Wedding cake</t>
  </si>
  <si>
    <t xml:space="preserve">DJ</t>
  </si>
  <si>
    <t xml:space="preserve">Fleuriste</t>
  </si>
  <si>
    <t xml:space="preserve">Officiant laïque</t>
  </si>
  <si>
    <t xml:space="preserve">Coiffeur</t>
  </si>
  <si>
    <t xml:space="preserve">Maquilleur</t>
  </si>
  <si>
    <t xml:space="preserve">Costume marié</t>
  </si>
  <si>
    <t xml:space="preserve">Navettes / Transport</t>
  </si>
  <si>
    <t xml:space="preserve">Photobooth / Animation</t>
  </si>
  <si>
    <t xml:space="preserve">Papetier</t>
  </si>
  <si>
    <t xml:space="preserve">Assurance mariage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</si>
</sst>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€&quot;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C9A84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3A2A"/>
      <name val="Arial"/>
      <family val="0"/>
      <charset val="1"/>
    </font>
    <font>
      <b val="true"/>
      <sz val="9"/>
      <color rgb="FF888888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3A2A"/>
        <bgColor rgb="FF333300"/>
      </patternFill>
    </fill>
    <fill>
      <patternFill patternType="solid">
        <fgColor rgb="FFC9A84C"/>
        <bgColor rgb="FFFF9900"/>
      </patternFill>
    </fill>
    <fill>
      <patternFill patternType="solid">
        <fgColor rgb="FFF5EDD6"/>
        <bgColor rgb="FFF5F0E8"/>
      </patternFill>
    </fill>
    <fill>
      <patternFill patternType="solid">
        <fgColor rgb="FFFFFFFF"/>
        <bgColor rgb="FFFFFBE6"/>
      </patternFill>
    </fill>
    <fill>
      <patternFill patternType="solid">
        <fgColor rgb="FFD6EAD0"/>
        <bgColor rgb="FFE6F4EA"/>
      </patternFill>
    </fill>
    <fill>
      <patternFill patternType="solid">
        <fgColor rgb="FFFFD6D6"/>
        <bgColor rgb="FFFFE8CC"/>
      </patternFill>
    </fill>
    <fill>
      <patternFill patternType="solid">
        <fgColor rgb="FFF5F0E8"/>
        <bgColor rgb="FFF5EDD6"/>
      </patternFill>
    </fill>
    <fill>
      <patternFill patternType="solid">
        <fgColor rgb="FFFFF0B3"/>
        <bgColor rgb="FFFFE8CC"/>
      </patternFill>
    </fill>
    <fill>
      <patternFill patternType="solid">
        <fgColor rgb="FFFFFBE6"/>
        <bgColor rgb="FFFFFFFF"/>
      </patternFill>
    </fill>
    <fill>
      <patternFill patternType="solid">
        <fgColor rgb="FFFFE8CC"/>
        <bgColor rgb="FFF5EDD6"/>
      </patternFill>
    </fill>
    <fill>
      <patternFill patternType="solid">
        <fgColor rgb="FFE6F4EA"/>
        <bgColor rgb="FFF5F0E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C9A84C"/>
          <bgColor rgb="FF000000"/>
        </patternFill>
      </fill>
    </dxf>
    <dxf>
      <fill>
        <patternFill patternType="solid">
          <fgColor rgb="FFF5EDD6"/>
          <bgColor rgb="FF000000"/>
        </patternFill>
      </fill>
    </dxf>
    <dxf>
      <fill>
        <patternFill patternType="solid">
          <fgColor rgb="FFF5F0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3A2A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6EAD0"/>
          <bgColor rgb="FF000000"/>
        </patternFill>
      </fill>
    </dxf>
    <dxf>
      <fill>
        <patternFill patternType="solid">
          <fgColor rgb="FFFFF0B3"/>
          <bgColor rgb="FF000000"/>
        </patternFill>
      </fill>
    </dxf>
    <dxf>
      <fill>
        <patternFill patternType="solid">
          <fgColor rgb="FFFFFBE6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 patternType="solid">
          <fgColor rgb="FFFFD6D6"/>
          <bgColor rgb="FF000000"/>
        </patternFill>
      </fill>
    </dxf>
    <dxf>
      <fill>
        <patternFill patternType="solid">
          <fgColor rgb="FFFFE8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BE6"/>
      <rgbColor rgb="FFE6F4EA"/>
      <rgbColor rgb="FF660066"/>
      <rgbColor rgb="FFFF8080"/>
      <rgbColor rgb="FF0066CC"/>
      <rgbColor rgb="FFF5ED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0E8"/>
      <rgbColor rgb="FFD6EAD0"/>
      <rgbColor rgb="FFFFF0B3"/>
      <rgbColor rgb="FF99CCFF"/>
      <rgbColor rgb="FFFFE8CC"/>
      <rgbColor rgb="FFCC99FF"/>
      <rgbColor rgb="FFFFD6D6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003366"/>
      <rgbColor rgb="FF339966"/>
      <rgbColor rgb="FF003300"/>
      <rgbColor rgb="FF333300"/>
      <rgbColor rgb="FF993300"/>
      <rgbColor rgb="FF993366"/>
      <rgbColor rgb="FF333399"/>
      <rgbColor rgb="FF1A3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42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4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30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customFormat="false" ht="21.75" hidden="false" customHeight="true" outlineLevel="0" collapsed="false">
      <c r="A4" s="5" t="s">
        <v>9</v>
      </c>
      <c r="B4" s="5"/>
      <c r="C4" s="5"/>
      <c r="D4" s="5"/>
      <c r="E4" s="5"/>
      <c r="F4" s="5"/>
      <c r="G4" s="5"/>
    </row>
    <row r="5" customFormat="false" ht="18" hidden="false" customHeight="true" outlineLevel="0" collapsed="false">
      <c r="A5" s="6" t="n">
        <v>1</v>
      </c>
      <c r="B5" s="7" t="s">
        <v>10</v>
      </c>
      <c r="C5" s="8" t="s">
        <v>11</v>
      </c>
      <c r="D5" s="8" t="s">
        <v>12</v>
      </c>
      <c r="E5" s="9" t="s">
        <v>13</v>
      </c>
      <c r="F5" s="10" t="s">
        <v>14</v>
      </c>
      <c r="G5" s="11" t="s">
        <v>15</v>
      </c>
    </row>
    <row r="6" customFormat="false" ht="18" hidden="false" customHeight="true" outlineLevel="0" collapsed="false">
      <c r="A6" s="12" t="n">
        <v>2</v>
      </c>
      <c r="B6" s="13" t="s">
        <v>16</v>
      </c>
      <c r="C6" s="14" t="s">
        <v>17</v>
      </c>
      <c r="D6" s="14" t="s">
        <v>12</v>
      </c>
      <c r="E6" s="15" t="s">
        <v>18</v>
      </c>
      <c r="F6" s="10" t="s">
        <v>14</v>
      </c>
      <c r="G6" s="16" t="s">
        <v>19</v>
      </c>
    </row>
    <row r="7" customFormat="false" ht="18" hidden="false" customHeight="true" outlineLevel="0" collapsed="false">
      <c r="A7" s="6" t="n">
        <v>3</v>
      </c>
      <c r="B7" s="7" t="s">
        <v>20</v>
      </c>
      <c r="C7" s="8" t="s">
        <v>21</v>
      </c>
      <c r="D7" s="8" t="s">
        <v>12</v>
      </c>
      <c r="E7" s="17" t="s">
        <v>22</v>
      </c>
      <c r="F7" s="10" t="s">
        <v>14</v>
      </c>
      <c r="G7" s="11" t="s">
        <v>23</v>
      </c>
    </row>
    <row r="8" customFormat="false" ht="18" hidden="false" customHeight="true" outlineLevel="0" collapsed="false">
      <c r="A8" s="12" t="n">
        <v>4</v>
      </c>
      <c r="B8" s="13" t="s">
        <v>24</v>
      </c>
      <c r="C8" s="14" t="s">
        <v>25</v>
      </c>
      <c r="D8" s="14" t="s">
        <v>12</v>
      </c>
      <c r="E8" s="15" t="s">
        <v>18</v>
      </c>
      <c r="F8" s="10" t="s">
        <v>14</v>
      </c>
      <c r="G8" s="16" t="s">
        <v>26</v>
      </c>
    </row>
    <row r="9" customFormat="false" ht="21.75" hidden="false" customHeight="true" outlineLevel="0" collapsed="false">
      <c r="A9" s="5" t="s">
        <v>27</v>
      </c>
      <c r="B9" s="5"/>
      <c r="C9" s="5"/>
      <c r="D9" s="5"/>
      <c r="E9" s="5"/>
      <c r="F9" s="5"/>
      <c r="G9" s="5"/>
    </row>
    <row r="10" customFormat="false" ht="18" hidden="false" customHeight="true" outlineLevel="0" collapsed="false">
      <c r="A10" s="6" t="n">
        <v>5</v>
      </c>
      <c r="B10" s="7" t="s">
        <v>28</v>
      </c>
      <c r="C10" s="8" t="s">
        <v>25</v>
      </c>
      <c r="D10" s="8" t="s">
        <v>29</v>
      </c>
      <c r="E10" s="17" t="s">
        <v>22</v>
      </c>
      <c r="F10" s="10" t="s">
        <v>14</v>
      </c>
      <c r="G10" s="11" t="s">
        <v>30</v>
      </c>
    </row>
    <row r="11" customFormat="false" ht="18" hidden="false" customHeight="true" outlineLevel="0" collapsed="false">
      <c r="A11" s="12" t="n">
        <v>6</v>
      </c>
      <c r="B11" s="13" t="s">
        <v>31</v>
      </c>
      <c r="C11" s="14" t="s">
        <v>11</v>
      </c>
      <c r="D11" s="14" t="s">
        <v>29</v>
      </c>
      <c r="E11" s="17" t="s">
        <v>22</v>
      </c>
      <c r="F11" s="18" t="s">
        <v>32</v>
      </c>
      <c r="G11" s="16" t="s">
        <v>33</v>
      </c>
    </row>
    <row r="12" customFormat="false" ht="18" hidden="false" customHeight="true" outlineLevel="0" collapsed="false">
      <c r="A12" s="6" t="n">
        <v>7</v>
      </c>
      <c r="B12" s="7" t="s">
        <v>34</v>
      </c>
      <c r="C12" s="8" t="s">
        <v>35</v>
      </c>
      <c r="D12" s="8" t="s">
        <v>29</v>
      </c>
      <c r="E12" s="17" t="s">
        <v>22</v>
      </c>
      <c r="F12" s="18" t="s">
        <v>32</v>
      </c>
      <c r="G12" s="11" t="s">
        <v>36</v>
      </c>
    </row>
    <row r="13" customFormat="false" ht="18" hidden="false" customHeight="true" outlineLevel="0" collapsed="false">
      <c r="A13" s="12" t="n">
        <v>8</v>
      </c>
      <c r="B13" s="13" t="s">
        <v>37</v>
      </c>
      <c r="C13" s="14" t="s">
        <v>11</v>
      </c>
      <c r="D13" s="14" t="s">
        <v>29</v>
      </c>
      <c r="E13" s="17" t="s">
        <v>22</v>
      </c>
      <c r="F13" s="17" t="s">
        <v>38</v>
      </c>
      <c r="G13" s="16" t="s">
        <v>39</v>
      </c>
    </row>
    <row r="14" customFormat="false" ht="18" hidden="false" customHeight="true" outlineLevel="0" collapsed="false">
      <c r="A14" s="6" t="n">
        <v>9</v>
      </c>
      <c r="B14" s="7" t="s">
        <v>40</v>
      </c>
      <c r="C14" s="8" t="s">
        <v>41</v>
      </c>
      <c r="D14" s="8" t="s">
        <v>29</v>
      </c>
      <c r="E14" s="17" t="s">
        <v>22</v>
      </c>
      <c r="F14" s="10" t="s">
        <v>14</v>
      </c>
      <c r="G14" s="11" t="s">
        <v>42</v>
      </c>
    </row>
    <row r="15" customFormat="false" ht="18" hidden="false" customHeight="true" outlineLevel="0" collapsed="false">
      <c r="A15" s="12" t="n">
        <v>10</v>
      </c>
      <c r="B15" s="13" t="s">
        <v>43</v>
      </c>
      <c r="C15" s="14" t="s">
        <v>44</v>
      </c>
      <c r="D15" s="14" t="s">
        <v>29</v>
      </c>
      <c r="E15" s="17" t="s">
        <v>22</v>
      </c>
      <c r="F15" s="10" t="s">
        <v>14</v>
      </c>
      <c r="G15" s="16" t="s">
        <v>45</v>
      </c>
    </row>
    <row r="16" customFormat="false" ht="21.75" hidden="false" customHeight="true" outlineLevel="0" collapsed="false">
      <c r="A16" s="5" t="s">
        <v>46</v>
      </c>
      <c r="B16" s="5"/>
      <c r="C16" s="5"/>
      <c r="D16" s="5"/>
      <c r="E16" s="5"/>
      <c r="F16" s="5"/>
      <c r="G16" s="5"/>
    </row>
    <row r="17" customFormat="false" ht="18" hidden="false" customHeight="true" outlineLevel="0" collapsed="false">
      <c r="A17" s="6" t="n">
        <v>11</v>
      </c>
      <c r="B17" s="7" t="s">
        <v>47</v>
      </c>
      <c r="C17" s="8" t="s">
        <v>44</v>
      </c>
      <c r="D17" s="8" t="s">
        <v>48</v>
      </c>
      <c r="E17" s="17" t="s">
        <v>22</v>
      </c>
      <c r="F17" s="10" t="s">
        <v>14</v>
      </c>
      <c r="G17" s="11" t="s">
        <v>49</v>
      </c>
    </row>
    <row r="18" customFormat="false" ht="18" hidden="false" customHeight="true" outlineLevel="0" collapsed="false">
      <c r="A18" s="12" t="n">
        <v>12</v>
      </c>
      <c r="B18" s="13" t="s">
        <v>50</v>
      </c>
      <c r="C18" s="14" t="s">
        <v>51</v>
      </c>
      <c r="D18" s="14" t="s">
        <v>48</v>
      </c>
      <c r="E18" s="17" t="s">
        <v>22</v>
      </c>
      <c r="F18" s="10" t="s">
        <v>14</v>
      </c>
      <c r="G18" s="16" t="s">
        <v>52</v>
      </c>
    </row>
    <row r="19" customFormat="false" ht="18" hidden="false" customHeight="true" outlineLevel="0" collapsed="false">
      <c r="A19" s="6" t="n">
        <v>13</v>
      </c>
      <c r="B19" s="7" t="s">
        <v>53</v>
      </c>
      <c r="C19" s="8" t="s">
        <v>51</v>
      </c>
      <c r="D19" s="8" t="s">
        <v>48</v>
      </c>
      <c r="E19" s="17" t="s">
        <v>22</v>
      </c>
      <c r="F19" s="18" t="s">
        <v>32</v>
      </c>
      <c r="G19" s="11" t="s">
        <v>54</v>
      </c>
    </row>
    <row r="20" customFormat="false" ht="18" hidden="false" customHeight="true" outlineLevel="0" collapsed="false">
      <c r="A20" s="12" t="n">
        <v>14</v>
      </c>
      <c r="B20" s="13" t="s">
        <v>55</v>
      </c>
      <c r="C20" s="14" t="s">
        <v>56</v>
      </c>
      <c r="D20" s="14" t="s">
        <v>48</v>
      </c>
      <c r="E20" s="17" t="s">
        <v>22</v>
      </c>
      <c r="F20" s="10" t="s">
        <v>14</v>
      </c>
      <c r="G20" s="16" t="s">
        <v>57</v>
      </c>
    </row>
    <row r="21" customFormat="false" ht="21.75" hidden="false" customHeight="true" outlineLevel="0" collapsed="false">
      <c r="A21" s="5" t="s">
        <v>58</v>
      </c>
      <c r="B21" s="5"/>
      <c r="C21" s="5"/>
      <c r="D21" s="5"/>
      <c r="E21" s="5"/>
      <c r="F21" s="5"/>
      <c r="G21" s="5"/>
    </row>
    <row r="22" customFormat="false" ht="18" hidden="false" customHeight="true" outlineLevel="0" collapsed="false">
      <c r="A22" s="6" t="n">
        <v>15</v>
      </c>
      <c r="B22" s="7" t="s">
        <v>59</v>
      </c>
      <c r="C22" s="8" t="s">
        <v>56</v>
      </c>
      <c r="D22" s="8" t="s">
        <v>60</v>
      </c>
      <c r="E22" s="17" t="s">
        <v>22</v>
      </c>
      <c r="F22" s="10" t="s">
        <v>14</v>
      </c>
      <c r="G22" s="11" t="s">
        <v>61</v>
      </c>
    </row>
    <row r="23" customFormat="false" ht="21.75" hidden="false" customHeight="true" outlineLevel="0" collapsed="false">
      <c r="A23" s="5" t="s">
        <v>46</v>
      </c>
      <c r="B23" s="5"/>
      <c r="C23" s="5"/>
      <c r="D23" s="5"/>
      <c r="E23" s="5"/>
      <c r="F23" s="5"/>
      <c r="G23" s="5"/>
    </row>
    <row r="24" customFormat="false" ht="18" hidden="false" customHeight="true" outlineLevel="0" collapsed="false">
      <c r="A24" s="12" t="n">
        <v>16</v>
      </c>
      <c r="B24" s="13" t="s">
        <v>62</v>
      </c>
      <c r="C24" s="14" t="s">
        <v>63</v>
      </c>
      <c r="D24" s="14" t="s">
        <v>48</v>
      </c>
      <c r="E24" s="17" t="s">
        <v>22</v>
      </c>
      <c r="F24" s="18" t="s">
        <v>32</v>
      </c>
      <c r="G24" s="16" t="s">
        <v>64</v>
      </c>
    </row>
    <row r="25" customFormat="false" ht="18" hidden="false" customHeight="true" outlineLevel="0" collapsed="false">
      <c r="A25" s="6" t="n">
        <v>17</v>
      </c>
      <c r="B25" s="7" t="s">
        <v>65</v>
      </c>
      <c r="C25" s="8" t="s">
        <v>66</v>
      </c>
      <c r="D25" s="8" t="s">
        <v>48</v>
      </c>
      <c r="E25" s="17" t="s">
        <v>22</v>
      </c>
      <c r="F25" s="18" t="s">
        <v>32</v>
      </c>
      <c r="G25" s="11" t="s">
        <v>67</v>
      </c>
    </row>
    <row r="26" customFormat="false" ht="18" hidden="false" customHeight="true" outlineLevel="0" collapsed="false">
      <c r="A26" s="12" t="n">
        <v>18</v>
      </c>
      <c r="B26" s="13" t="s">
        <v>68</v>
      </c>
      <c r="C26" s="14" t="s">
        <v>35</v>
      </c>
      <c r="D26" s="14" t="s">
        <v>48</v>
      </c>
      <c r="E26" s="17" t="s">
        <v>22</v>
      </c>
      <c r="F26" s="10" t="s">
        <v>14</v>
      </c>
      <c r="G26" s="16" t="s">
        <v>69</v>
      </c>
    </row>
    <row r="27" customFormat="false" ht="18" hidden="false" customHeight="true" outlineLevel="0" collapsed="false">
      <c r="A27" s="6" t="n">
        <v>19</v>
      </c>
      <c r="B27" s="7" t="s">
        <v>70</v>
      </c>
      <c r="C27" s="8" t="s">
        <v>71</v>
      </c>
      <c r="D27" s="8" t="s">
        <v>48</v>
      </c>
      <c r="E27" s="17" t="s">
        <v>22</v>
      </c>
      <c r="F27" s="18" t="s">
        <v>32</v>
      </c>
      <c r="G27" s="11" t="s">
        <v>72</v>
      </c>
    </row>
    <row r="28" customFormat="false" ht="18" hidden="false" customHeight="true" outlineLevel="0" collapsed="false">
      <c r="A28" s="12" t="n">
        <v>20</v>
      </c>
      <c r="B28" s="13" t="s">
        <v>73</v>
      </c>
      <c r="C28" s="14" t="s">
        <v>66</v>
      </c>
      <c r="D28" s="14" t="s">
        <v>48</v>
      </c>
      <c r="E28" s="17" t="s">
        <v>22</v>
      </c>
      <c r="F28" s="17" t="s">
        <v>38</v>
      </c>
      <c r="G28" s="16" t="s">
        <v>74</v>
      </c>
    </row>
    <row r="29" customFormat="false" ht="21.75" hidden="false" customHeight="true" outlineLevel="0" collapsed="false">
      <c r="A29" s="5" t="s">
        <v>75</v>
      </c>
      <c r="B29" s="5"/>
      <c r="C29" s="5"/>
      <c r="D29" s="5"/>
      <c r="E29" s="5"/>
      <c r="F29" s="5"/>
      <c r="G29" s="5"/>
    </row>
    <row r="30" customFormat="false" ht="18" hidden="false" customHeight="true" outlineLevel="0" collapsed="false">
      <c r="A30" s="6" t="n">
        <v>21</v>
      </c>
      <c r="B30" s="7" t="s">
        <v>76</v>
      </c>
      <c r="C30" s="8" t="s">
        <v>44</v>
      </c>
      <c r="D30" s="8" t="s">
        <v>77</v>
      </c>
      <c r="E30" s="17" t="s">
        <v>22</v>
      </c>
      <c r="F30" s="18" t="s">
        <v>32</v>
      </c>
      <c r="G30" s="11" t="s">
        <v>78</v>
      </c>
    </row>
    <row r="31" customFormat="false" ht="18" hidden="false" customHeight="true" outlineLevel="0" collapsed="false">
      <c r="A31" s="12" t="n">
        <v>22</v>
      </c>
      <c r="B31" s="13" t="s">
        <v>79</v>
      </c>
      <c r="C31" s="14" t="s">
        <v>35</v>
      </c>
      <c r="D31" s="14" t="s">
        <v>77</v>
      </c>
      <c r="E31" s="17" t="s">
        <v>22</v>
      </c>
      <c r="F31" s="18" t="s">
        <v>32</v>
      </c>
      <c r="G31" s="16" t="s">
        <v>80</v>
      </c>
    </row>
    <row r="32" customFormat="false" ht="18" hidden="false" customHeight="true" outlineLevel="0" collapsed="false">
      <c r="A32" s="6" t="n">
        <v>23</v>
      </c>
      <c r="B32" s="7" t="s">
        <v>81</v>
      </c>
      <c r="C32" s="8" t="s">
        <v>71</v>
      </c>
      <c r="D32" s="8" t="s">
        <v>77</v>
      </c>
      <c r="E32" s="17" t="s">
        <v>22</v>
      </c>
      <c r="F32" s="18" t="s">
        <v>32</v>
      </c>
      <c r="G32" s="11" t="s">
        <v>82</v>
      </c>
    </row>
    <row r="33" customFormat="false" ht="18" hidden="false" customHeight="true" outlineLevel="0" collapsed="false">
      <c r="A33" s="12" t="n">
        <v>24</v>
      </c>
      <c r="B33" s="13" t="s">
        <v>83</v>
      </c>
      <c r="C33" s="14" t="s">
        <v>84</v>
      </c>
      <c r="D33" s="14" t="s">
        <v>77</v>
      </c>
      <c r="E33" s="17" t="s">
        <v>22</v>
      </c>
      <c r="F33" s="18" t="s">
        <v>32</v>
      </c>
      <c r="G33" s="16" t="s">
        <v>85</v>
      </c>
    </row>
    <row r="34" customFormat="false" ht="18" hidden="false" customHeight="true" outlineLevel="0" collapsed="false">
      <c r="A34" s="6" t="n">
        <v>25</v>
      </c>
      <c r="B34" s="7" t="s">
        <v>86</v>
      </c>
      <c r="C34" s="8" t="s">
        <v>11</v>
      </c>
      <c r="D34" s="8" t="s">
        <v>77</v>
      </c>
      <c r="E34" s="17" t="s">
        <v>22</v>
      </c>
      <c r="F34" s="17" t="s">
        <v>38</v>
      </c>
      <c r="G34" s="11" t="s">
        <v>87</v>
      </c>
    </row>
    <row r="35" customFormat="false" ht="21.75" hidden="false" customHeight="true" outlineLevel="0" collapsed="false">
      <c r="A35" s="5" t="s">
        <v>88</v>
      </c>
      <c r="B35" s="5"/>
      <c r="C35" s="5"/>
      <c r="D35" s="5"/>
      <c r="E35" s="5"/>
      <c r="F35" s="5"/>
      <c r="G35" s="5"/>
    </row>
    <row r="36" customFormat="false" ht="18" hidden="false" customHeight="true" outlineLevel="0" collapsed="false">
      <c r="A36" s="12" t="n">
        <v>26</v>
      </c>
      <c r="B36" s="13" t="s">
        <v>89</v>
      </c>
      <c r="C36" s="14" t="s">
        <v>35</v>
      </c>
      <c r="D36" s="14" t="s">
        <v>90</v>
      </c>
      <c r="E36" s="17" t="s">
        <v>22</v>
      </c>
      <c r="F36" s="10" t="s">
        <v>14</v>
      </c>
      <c r="G36" s="16" t="s">
        <v>91</v>
      </c>
    </row>
    <row r="37" customFormat="false" ht="18" hidden="false" customHeight="true" outlineLevel="0" collapsed="false">
      <c r="A37" s="6" t="n">
        <v>27</v>
      </c>
      <c r="B37" s="7" t="s">
        <v>92</v>
      </c>
      <c r="C37" s="8" t="s">
        <v>21</v>
      </c>
      <c r="D37" s="8" t="s">
        <v>90</v>
      </c>
      <c r="E37" s="17" t="s">
        <v>22</v>
      </c>
      <c r="F37" s="10" t="s">
        <v>14</v>
      </c>
      <c r="G37" s="11" t="s">
        <v>93</v>
      </c>
    </row>
    <row r="38" customFormat="false" ht="18" hidden="false" customHeight="true" outlineLevel="0" collapsed="false">
      <c r="A38" s="12" t="n">
        <v>28</v>
      </c>
      <c r="B38" s="13" t="s">
        <v>94</v>
      </c>
      <c r="C38" s="14" t="s">
        <v>51</v>
      </c>
      <c r="D38" s="14" t="s">
        <v>90</v>
      </c>
      <c r="E38" s="17" t="s">
        <v>22</v>
      </c>
      <c r="F38" s="18" t="s">
        <v>32</v>
      </c>
      <c r="G38" s="16" t="s">
        <v>95</v>
      </c>
    </row>
    <row r="39" customFormat="false" ht="18" hidden="false" customHeight="true" outlineLevel="0" collapsed="false">
      <c r="A39" s="6" t="n">
        <v>29</v>
      </c>
      <c r="B39" s="7" t="s">
        <v>96</v>
      </c>
      <c r="C39" s="8" t="s">
        <v>97</v>
      </c>
      <c r="D39" s="8" t="s">
        <v>90</v>
      </c>
      <c r="E39" s="17" t="s">
        <v>22</v>
      </c>
      <c r="F39" s="18" t="s">
        <v>32</v>
      </c>
      <c r="G39" s="11" t="s">
        <v>98</v>
      </c>
    </row>
    <row r="40" customFormat="false" ht="18" hidden="false" customHeight="true" outlineLevel="0" collapsed="false">
      <c r="A40" s="12" t="n">
        <v>30</v>
      </c>
      <c r="B40" s="13" t="s">
        <v>99</v>
      </c>
      <c r="C40" s="14" t="s">
        <v>56</v>
      </c>
      <c r="D40" s="14" t="s">
        <v>90</v>
      </c>
      <c r="E40" s="17" t="s">
        <v>22</v>
      </c>
      <c r="F40" s="17" t="s">
        <v>38</v>
      </c>
      <c r="G40" s="16" t="s">
        <v>100</v>
      </c>
    </row>
    <row r="41" customFormat="false" ht="18" hidden="false" customHeight="true" outlineLevel="0" collapsed="false">
      <c r="A41" s="6" t="n">
        <v>31</v>
      </c>
      <c r="B41" s="7" t="s">
        <v>101</v>
      </c>
      <c r="C41" s="8" t="s">
        <v>102</v>
      </c>
      <c r="D41" s="8" t="s">
        <v>90</v>
      </c>
      <c r="E41" s="17" t="s">
        <v>22</v>
      </c>
      <c r="F41" s="17" t="s">
        <v>38</v>
      </c>
      <c r="G41" s="11" t="s">
        <v>103</v>
      </c>
    </row>
    <row r="42" customFormat="false" ht="18" hidden="false" customHeight="true" outlineLevel="0" collapsed="false">
      <c r="A42" s="12" t="n">
        <v>32</v>
      </c>
      <c r="B42" s="13" t="s">
        <v>104</v>
      </c>
      <c r="C42" s="14" t="s">
        <v>66</v>
      </c>
      <c r="D42" s="14" t="s">
        <v>90</v>
      </c>
      <c r="E42" s="17" t="s">
        <v>22</v>
      </c>
      <c r="F42" s="17" t="s">
        <v>38</v>
      </c>
      <c r="G42" s="16" t="s">
        <v>105</v>
      </c>
    </row>
    <row r="43" customFormat="false" ht="18" hidden="false" customHeight="true" outlineLevel="0" collapsed="false">
      <c r="A43" s="6" t="n">
        <v>33</v>
      </c>
      <c r="B43" s="7" t="s">
        <v>106</v>
      </c>
      <c r="C43" s="8" t="s">
        <v>84</v>
      </c>
      <c r="D43" s="8" t="s">
        <v>90</v>
      </c>
      <c r="E43" s="17" t="s">
        <v>22</v>
      </c>
      <c r="F43" s="18" t="s">
        <v>32</v>
      </c>
      <c r="G43" s="11" t="s">
        <v>107</v>
      </c>
    </row>
    <row r="44" customFormat="false" ht="21.75" hidden="false" customHeight="true" outlineLevel="0" collapsed="false">
      <c r="A44" s="5" t="s">
        <v>108</v>
      </c>
      <c r="B44" s="5"/>
      <c r="C44" s="5"/>
      <c r="D44" s="5"/>
      <c r="E44" s="5"/>
      <c r="F44" s="5"/>
      <c r="G44" s="5"/>
    </row>
    <row r="45" customFormat="false" ht="18" hidden="false" customHeight="true" outlineLevel="0" collapsed="false">
      <c r="A45" s="12" t="n">
        <v>34</v>
      </c>
      <c r="B45" s="13" t="s">
        <v>109</v>
      </c>
      <c r="C45" s="14" t="s">
        <v>11</v>
      </c>
      <c r="D45" s="14" t="s">
        <v>110</v>
      </c>
      <c r="E45" s="17" t="s">
        <v>22</v>
      </c>
      <c r="F45" s="18" t="s">
        <v>32</v>
      </c>
      <c r="G45" s="16" t="s">
        <v>111</v>
      </c>
    </row>
    <row r="46" customFormat="false" ht="18" hidden="false" customHeight="true" outlineLevel="0" collapsed="false">
      <c r="A46" s="6" t="n">
        <v>35</v>
      </c>
      <c r="B46" s="7" t="s">
        <v>112</v>
      </c>
      <c r="C46" s="8" t="s">
        <v>44</v>
      </c>
      <c r="D46" s="8" t="s">
        <v>110</v>
      </c>
      <c r="E46" s="17" t="s">
        <v>22</v>
      </c>
      <c r="F46" s="18" t="s">
        <v>32</v>
      </c>
      <c r="G46" s="11" t="s">
        <v>113</v>
      </c>
    </row>
    <row r="47" customFormat="false" ht="18" hidden="false" customHeight="true" outlineLevel="0" collapsed="false">
      <c r="A47" s="12" t="n">
        <v>36</v>
      </c>
      <c r="B47" s="13" t="s">
        <v>114</v>
      </c>
      <c r="C47" s="14" t="s">
        <v>71</v>
      </c>
      <c r="D47" s="14" t="s">
        <v>110</v>
      </c>
      <c r="E47" s="17" t="s">
        <v>22</v>
      </c>
      <c r="F47" s="17" t="s">
        <v>38</v>
      </c>
      <c r="G47" s="16" t="s">
        <v>115</v>
      </c>
    </row>
    <row r="48" customFormat="false" ht="18" hidden="false" customHeight="true" outlineLevel="0" collapsed="false">
      <c r="A48" s="6" t="n">
        <v>37</v>
      </c>
      <c r="B48" s="7" t="s">
        <v>116</v>
      </c>
      <c r="C48" s="8" t="s">
        <v>63</v>
      </c>
      <c r="D48" s="8" t="s">
        <v>110</v>
      </c>
      <c r="E48" s="17" t="s">
        <v>22</v>
      </c>
      <c r="F48" s="17" t="s">
        <v>38</v>
      </c>
      <c r="G48" s="11" t="s">
        <v>117</v>
      </c>
    </row>
    <row r="49" customFormat="false" ht="18" hidden="false" customHeight="true" outlineLevel="0" collapsed="false">
      <c r="A49" s="12" t="n">
        <v>38</v>
      </c>
      <c r="B49" s="13" t="s">
        <v>118</v>
      </c>
      <c r="C49" s="14" t="s">
        <v>11</v>
      </c>
      <c r="D49" s="14" t="s">
        <v>110</v>
      </c>
      <c r="E49" s="17" t="s">
        <v>22</v>
      </c>
      <c r="F49" s="17" t="s">
        <v>38</v>
      </c>
      <c r="G49" s="16" t="s">
        <v>119</v>
      </c>
    </row>
    <row r="50" customFormat="false" ht="18" hidden="false" customHeight="true" outlineLevel="0" collapsed="false">
      <c r="A50" s="6" t="n">
        <v>39</v>
      </c>
      <c r="B50" s="7" t="s">
        <v>120</v>
      </c>
      <c r="C50" s="8" t="s">
        <v>21</v>
      </c>
      <c r="D50" s="8" t="s">
        <v>110</v>
      </c>
      <c r="E50" s="17" t="s">
        <v>22</v>
      </c>
      <c r="F50" s="19" t="s">
        <v>121</v>
      </c>
      <c r="G50" s="11" t="s">
        <v>122</v>
      </c>
    </row>
    <row r="51" customFormat="false" ht="18" hidden="false" customHeight="true" outlineLevel="0" collapsed="false">
      <c r="A51" s="12" t="n">
        <v>40</v>
      </c>
      <c r="B51" s="13" t="s">
        <v>123</v>
      </c>
      <c r="C51" s="14" t="s">
        <v>17</v>
      </c>
      <c r="D51" s="14" t="s">
        <v>110</v>
      </c>
      <c r="E51" s="17" t="s">
        <v>22</v>
      </c>
      <c r="F51" s="17" t="s">
        <v>38</v>
      </c>
      <c r="G51" s="16" t="s">
        <v>124</v>
      </c>
    </row>
    <row r="52" customFormat="false" ht="21.75" hidden="false" customHeight="true" outlineLevel="0" collapsed="false">
      <c r="A52" s="5" t="s">
        <v>125</v>
      </c>
      <c r="B52" s="5"/>
      <c r="C52" s="5"/>
      <c r="D52" s="5"/>
      <c r="E52" s="5"/>
      <c r="F52" s="5"/>
      <c r="G52" s="5"/>
    </row>
    <row r="53" customFormat="false" ht="18" hidden="false" customHeight="true" outlineLevel="0" collapsed="false">
      <c r="A53" s="6" t="n">
        <v>41</v>
      </c>
      <c r="B53" s="7" t="s">
        <v>126</v>
      </c>
      <c r="C53" s="8" t="s">
        <v>41</v>
      </c>
      <c r="D53" s="8" t="s">
        <v>127</v>
      </c>
      <c r="E53" s="17" t="s">
        <v>22</v>
      </c>
      <c r="F53" s="10" t="s">
        <v>14</v>
      </c>
      <c r="G53" s="11" t="s">
        <v>128</v>
      </c>
    </row>
    <row r="54" customFormat="false" ht="18" hidden="false" customHeight="true" outlineLevel="0" collapsed="false">
      <c r="A54" s="12" t="n">
        <v>42</v>
      </c>
      <c r="B54" s="13" t="s">
        <v>129</v>
      </c>
      <c r="C54" s="14" t="s">
        <v>35</v>
      </c>
      <c r="D54" s="14" t="s">
        <v>127</v>
      </c>
      <c r="E54" s="17" t="s">
        <v>22</v>
      </c>
      <c r="F54" s="18" t="s">
        <v>32</v>
      </c>
      <c r="G54" s="16" t="s">
        <v>130</v>
      </c>
    </row>
    <row r="55" customFormat="false" ht="18" hidden="false" customHeight="true" outlineLevel="0" collapsed="false">
      <c r="A55" s="6" t="n">
        <v>43</v>
      </c>
      <c r="B55" s="7" t="s">
        <v>131</v>
      </c>
      <c r="C55" s="8" t="s">
        <v>84</v>
      </c>
      <c r="D55" s="8" t="s">
        <v>127</v>
      </c>
      <c r="E55" s="17" t="s">
        <v>22</v>
      </c>
      <c r="F55" s="18" t="s">
        <v>32</v>
      </c>
      <c r="G55" s="11" t="s">
        <v>132</v>
      </c>
    </row>
    <row r="56" customFormat="false" ht="18" hidden="false" customHeight="true" outlineLevel="0" collapsed="false">
      <c r="A56" s="12" t="n">
        <v>44</v>
      </c>
      <c r="B56" s="13" t="s">
        <v>133</v>
      </c>
      <c r="C56" s="14" t="s">
        <v>51</v>
      </c>
      <c r="D56" s="14" t="s">
        <v>127</v>
      </c>
      <c r="E56" s="17" t="s">
        <v>22</v>
      </c>
      <c r="F56" s="18" t="s">
        <v>32</v>
      </c>
      <c r="G56" s="16" t="s">
        <v>134</v>
      </c>
    </row>
    <row r="57" customFormat="false" ht="18" hidden="false" customHeight="true" outlineLevel="0" collapsed="false">
      <c r="A57" s="6" t="n">
        <v>45</v>
      </c>
      <c r="B57" s="7" t="s">
        <v>135</v>
      </c>
      <c r="C57" s="8" t="s">
        <v>136</v>
      </c>
      <c r="D57" s="8" t="s">
        <v>127</v>
      </c>
      <c r="E57" s="17" t="s">
        <v>22</v>
      </c>
      <c r="F57" s="10" t="s">
        <v>14</v>
      </c>
      <c r="G57" s="11" t="s">
        <v>137</v>
      </c>
    </row>
    <row r="58" customFormat="false" ht="18" hidden="false" customHeight="true" outlineLevel="0" collapsed="false">
      <c r="A58" s="12" t="n">
        <v>46</v>
      </c>
      <c r="B58" s="13" t="s">
        <v>138</v>
      </c>
      <c r="C58" s="14" t="s">
        <v>71</v>
      </c>
      <c r="D58" s="14" t="s">
        <v>127</v>
      </c>
      <c r="E58" s="17" t="s">
        <v>22</v>
      </c>
      <c r="F58" s="18" t="s">
        <v>32</v>
      </c>
      <c r="G58" s="16" t="s">
        <v>139</v>
      </c>
    </row>
    <row r="59" customFormat="false" ht="21.75" hidden="false" customHeight="true" outlineLevel="0" collapsed="false">
      <c r="A59" s="5" t="s">
        <v>140</v>
      </c>
      <c r="B59" s="5"/>
      <c r="C59" s="5"/>
      <c r="D59" s="5"/>
      <c r="E59" s="5"/>
      <c r="F59" s="5"/>
      <c r="G59" s="5"/>
    </row>
    <row r="60" customFormat="false" ht="18" hidden="false" customHeight="true" outlineLevel="0" collapsed="false">
      <c r="A60" s="6" t="n">
        <v>47</v>
      </c>
      <c r="B60" s="7" t="s">
        <v>141</v>
      </c>
      <c r="C60" s="8" t="s">
        <v>44</v>
      </c>
      <c r="D60" s="8" t="s">
        <v>142</v>
      </c>
      <c r="E60" s="17" t="s">
        <v>22</v>
      </c>
      <c r="F60" s="10" t="s">
        <v>14</v>
      </c>
      <c r="G60" s="11" t="s">
        <v>143</v>
      </c>
    </row>
    <row r="61" customFormat="false" ht="18" hidden="false" customHeight="true" outlineLevel="0" collapsed="false">
      <c r="A61" s="12" t="n">
        <v>48</v>
      </c>
      <c r="B61" s="13" t="s">
        <v>144</v>
      </c>
      <c r="C61" s="14" t="s">
        <v>11</v>
      </c>
      <c r="D61" s="14" t="s">
        <v>142</v>
      </c>
      <c r="E61" s="17" t="s">
        <v>22</v>
      </c>
      <c r="F61" s="10" t="s">
        <v>14</v>
      </c>
      <c r="G61" s="16" t="s">
        <v>145</v>
      </c>
    </row>
    <row r="62" customFormat="false" ht="18" hidden="false" customHeight="true" outlineLevel="0" collapsed="false">
      <c r="A62" s="6" t="n">
        <v>49</v>
      </c>
      <c r="B62" s="7" t="s">
        <v>146</v>
      </c>
      <c r="C62" s="8" t="s">
        <v>17</v>
      </c>
      <c r="D62" s="8" t="s">
        <v>142</v>
      </c>
      <c r="E62" s="17" t="s">
        <v>22</v>
      </c>
      <c r="F62" s="18" t="s">
        <v>32</v>
      </c>
      <c r="G62" s="11" t="s">
        <v>147</v>
      </c>
    </row>
    <row r="63" customFormat="false" ht="18" hidden="false" customHeight="true" outlineLevel="0" collapsed="false">
      <c r="A63" s="12" t="n">
        <v>50</v>
      </c>
      <c r="B63" s="13" t="s">
        <v>148</v>
      </c>
      <c r="C63" s="14" t="s">
        <v>11</v>
      </c>
      <c r="D63" s="14" t="s">
        <v>142</v>
      </c>
      <c r="E63" s="17" t="s">
        <v>22</v>
      </c>
      <c r="F63" s="18" t="s">
        <v>32</v>
      </c>
      <c r="G63" s="16" t="s">
        <v>149</v>
      </c>
    </row>
    <row r="64" customFormat="false" ht="18" hidden="false" customHeight="true" outlineLevel="0" collapsed="false">
      <c r="A64" s="6" t="n">
        <v>51</v>
      </c>
      <c r="B64" s="7" t="s">
        <v>150</v>
      </c>
      <c r="C64" s="8" t="s">
        <v>56</v>
      </c>
      <c r="D64" s="8" t="s">
        <v>142</v>
      </c>
      <c r="E64" s="17" t="s">
        <v>22</v>
      </c>
      <c r="F64" s="17" t="s">
        <v>38</v>
      </c>
      <c r="G64" s="11" t="s">
        <v>151</v>
      </c>
    </row>
    <row r="65" customFormat="false" ht="18" hidden="false" customHeight="true" outlineLevel="0" collapsed="false">
      <c r="A65" s="12" t="n">
        <v>52</v>
      </c>
      <c r="B65" s="13" t="s">
        <v>152</v>
      </c>
      <c r="C65" s="14" t="s">
        <v>51</v>
      </c>
      <c r="D65" s="14" t="s">
        <v>142</v>
      </c>
      <c r="E65" s="17" t="s">
        <v>22</v>
      </c>
      <c r="F65" s="18" t="s">
        <v>32</v>
      </c>
      <c r="G65" s="16" t="s">
        <v>153</v>
      </c>
    </row>
    <row r="66" customFormat="false" ht="21.75" hidden="false" customHeight="true" outlineLevel="0" collapsed="false">
      <c r="A66" s="5" t="s">
        <v>154</v>
      </c>
      <c r="B66" s="5"/>
      <c r="C66" s="5"/>
      <c r="D66" s="5"/>
      <c r="E66" s="5"/>
      <c r="F66" s="5"/>
      <c r="G66" s="5"/>
    </row>
    <row r="67" customFormat="false" ht="18" hidden="false" customHeight="true" outlineLevel="0" collapsed="false">
      <c r="A67" s="6" t="n">
        <v>53</v>
      </c>
      <c r="B67" s="7" t="s">
        <v>155</v>
      </c>
      <c r="C67" s="8" t="s">
        <v>41</v>
      </c>
      <c r="D67" s="8" t="s">
        <v>156</v>
      </c>
      <c r="E67" s="17" t="s">
        <v>22</v>
      </c>
      <c r="F67" s="10" t="s">
        <v>14</v>
      </c>
      <c r="G67" s="11" t="s">
        <v>157</v>
      </c>
    </row>
    <row r="68" customFormat="false" ht="18" hidden="false" customHeight="true" outlineLevel="0" collapsed="false">
      <c r="A68" s="12" t="n">
        <v>54</v>
      </c>
      <c r="B68" s="13" t="s">
        <v>158</v>
      </c>
      <c r="C68" s="14" t="s">
        <v>11</v>
      </c>
      <c r="D68" s="14" t="s">
        <v>156</v>
      </c>
      <c r="E68" s="17" t="s">
        <v>22</v>
      </c>
      <c r="F68" s="17" t="s">
        <v>38</v>
      </c>
      <c r="G68" s="16" t="s">
        <v>159</v>
      </c>
    </row>
    <row r="69" customFormat="false" ht="18" hidden="false" customHeight="true" outlineLevel="0" collapsed="false">
      <c r="A69" s="6" t="n">
        <v>55</v>
      </c>
      <c r="B69" s="7" t="s">
        <v>160</v>
      </c>
      <c r="C69" s="8" t="s">
        <v>11</v>
      </c>
      <c r="D69" s="8" t="s">
        <v>156</v>
      </c>
      <c r="E69" s="17" t="s">
        <v>22</v>
      </c>
      <c r="F69" s="10" t="s">
        <v>14</v>
      </c>
      <c r="G69" s="11" t="s">
        <v>161</v>
      </c>
    </row>
    <row r="70" customFormat="false" ht="18" hidden="false" customHeight="true" outlineLevel="0" collapsed="false">
      <c r="A70" s="12" t="n">
        <v>56</v>
      </c>
      <c r="B70" s="13" t="s">
        <v>162</v>
      </c>
      <c r="C70" s="14" t="s">
        <v>97</v>
      </c>
      <c r="D70" s="14" t="s">
        <v>156</v>
      </c>
      <c r="E70" s="17" t="s">
        <v>22</v>
      </c>
      <c r="F70" s="18" t="s">
        <v>32</v>
      </c>
      <c r="G70" s="16" t="s">
        <v>163</v>
      </c>
    </row>
    <row r="71" customFormat="false" ht="18" hidden="false" customHeight="true" outlineLevel="0" collapsed="false">
      <c r="A71" s="6" t="n">
        <v>57</v>
      </c>
      <c r="B71" s="7" t="s">
        <v>164</v>
      </c>
      <c r="C71" s="8" t="s">
        <v>136</v>
      </c>
      <c r="D71" s="8" t="s">
        <v>156</v>
      </c>
      <c r="E71" s="17" t="s">
        <v>22</v>
      </c>
      <c r="F71" s="10" t="s">
        <v>14</v>
      </c>
      <c r="G71" s="11" t="s">
        <v>165</v>
      </c>
    </row>
    <row r="72" customFormat="false" ht="21.75" hidden="false" customHeight="true" outlineLevel="0" collapsed="false">
      <c r="A72" s="5" t="s">
        <v>166</v>
      </c>
      <c r="B72" s="5"/>
      <c r="C72" s="5"/>
      <c r="D72" s="5"/>
      <c r="E72" s="5"/>
      <c r="F72" s="5"/>
      <c r="G72" s="5"/>
    </row>
    <row r="73" customFormat="false" ht="18" hidden="false" customHeight="true" outlineLevel="0" collapsed="false">
      <c r="A73" s="12" t="n">
        <v>58</v>
      </c>
      <c r="B73" s="13" t="s">
        <v>167</v>
      </c>
      <c r="C73" s="14" t="s">
        <v>63</v>
      </c>
      <c r="D73" s="14" t="s">
        <v>168</v>
      </c>
      <c r="E73" s="17" t="s">
        <v>22</v>
      </c>
      <c r="F73" s="10" t="s">
        <v>14</v>
      </c>
      <c r="G73" s="16" t="s">
        <v>169</v>
      </c>
    </row>
    <row r="74" customFormat="false" ht="18" hidden="false" customHeight="true" outlineLevel="0" collapsed="false">
      <c r="A74" s="6" t="n">
        <v>59</v>
      </c>
      <c r="B74" s="7" t="s">
        <v>170</v>
      </c>
      <c r="C74" s="8" t="s">
        <v>56</v>
      </c>
      <c r="D74" s="8" t="s">
        <v>168</v>
      </c>
      <c r="E74" s="17" t="s">
        <v>22</v>
      </c>
      <c r="F74" s="10" t="s">
        <v>14</v>
      </c>
      <c r="G74" s="11" t="s">
        <v>171</v>
      </c>
    </row>
    <row r="75" customFormat="false" ht="18" hidden="false" customHeight="true" outlineLevel="0" collapsed="false">
      <c r="A75" s="12" t="n">
        <v>60</v>
      </c>
      <c r="B75" s="13" t="s">
        <v>172</v>
      </c>
      <c r="C75" s="14" t="s">
        <v>84</v>
      </c>
      <c r="D75" s="14" t="s">
        <v>168</v>
      </c>
      <c r="E75" s="17" t="s">
        <v>22</v>
      </c>
      <c r="F75" s="10" t="s">
        <v>14</v>
      </c>
      <c r="G75" s="16" t="s">
        <v>173</v>
      </c>
    </row>
    <row r="76" customFormat="false" ht="18" hidden="false" customHeight="true" outlineLevel="0" collapsed="false">
      <c r="A76" s="6" t="n">
        <v>61</v>
      </c>
      <c r="B76" s="7" t="s">
        <v>174</v>
      </c>
      <c r="C76" s="8" t="s">
        <v>71</v>
      </c>
      <c r="D76" s="8" t="s">
        <v>168</v>
      </c>
      <c r="E76" s="17" t="s">
        <v>22</v>
      </c>
      <c r="F76" s="10" t="s">
        <v>14</v>
      </c>
      <c r="G76" s="11" t="s">
        <v>175</v>
      </c>
    </row>
    <row r="77" customFormat="false" ht="18" hidden="false" customHeight="true" outlineLevel="0" collapsed="false">
      <c r="A77" s="12" t="n">
        <v>62</v>
      </c>
      <c r="B77" s="13" t="s">
        <v>176</v>
      </c>
      <c r="C77" s="14" t="s">
        <v>177</v>
      </c>
      <c r="D77" s="14" t="s">
        <v>168</v>
      </c>
      <c r="E77" s="17" t="s">
        <v>22</v>
      </c>
      <c r="F77" s="10" t="s">
        <v>14</v>
      </c>
      <c r="G77" s="16" t="s">
        <v>178</v>
      </c>
    </row>
    <row r="78" customFormat="false" ht="18" hidden="false" customHeight="true" outlineLevel="0" collapsed="false">
      <c r="A78" s="6" t="n">
        <v>63</v>
      </c>
      <c r="B78" s="7" t="s">
        <v>179</v>
      </c>
      <c r="C78" s="8" t="s">
        <v>177</v>
      </c>
      <c r="D78" s="8" t="s">
        <v>168</v>
      </c>
      <c r="E78" s="17" t="s">
        <v>22</v>
      </c>
      <c r="F78" s="10" t="s">
        <v>14</v>
      </c>
      <c r="G78" s="11" t="s">
        <v>180</v>
      </c>
    </row>
    <row r="79" customFormat="false" ht="18" hidden="false" customHeight="true" outlineLevel="0" collapsed="false">
      <c r="A79" s="12" t="n">
        <v>64</v>
      </c>
      <c r="B79" s="13" t="s">
        <v>181</v>
      </c>
      <c r="C79" s="14" t="s">
        <v>177</v>
      </c>
      <c r="D79" s="14" t="s">
        <v>168</v>
      </c>
      <c r="E79" s="17" t="s">
        <v>22</v>
      </c>
      <c r="F79" s="18" t="s">
        <v>32</v>
      </c>
      <c r="G79" s="16" t="s">
        <v>182</v>
      </c>
    </row>
  </sheetData>
  <autoFilter ref="A3:G79"/>
  <mergeCells count="14">
    <mergeCell ref="A1:G1"/>
    <mergeCell ref="A2:G2"/>
    <mergeCell ref="A4:G4"/>
    <mergeCell ref="A9:G9"/>
    <mergeCell ref="A16:G16"/>
    <mergeCell ref="A21:G21"/>
    <mergeCell ref="A23:G23"/>
    <mergeCell ref="A29:G29"/>
    <mergeCell ref="A35:G35"/>
    <mergeCell ref="A44:G44"/>
    <mergeCell ref="A52:G52"/>
    <mergeCell ref="A59:G59"/>
    <mergeCell ref="A66:G66"/>
    <mergeCell ref="A72:G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16"/>
    <col collapsed="false" customWidth="true" hidden="false" outlineLevel="0" max="5" min="5" style="1" width="30"/>
  </cols>
  <sheetData>
    <row r="1" customFormat="false" ht="36" hidden="false" customHeight="true" outlineLevel="0" collapsed="false">
      <c r="A1" s="20" t="s">
        <v>183</v>
      </c>
      <c r="B1" s="20"/>
      <c r="C1" s="20"/>
      <c r="D1" s="20"/>
      <c r="E1" s="20"/>
    </row>
    <row r="2" customFormat="false" ht="25.5" hidden="false" customHeight="true" outlineLevel="0" collapsed="false">
      <c r="A2" s="4" t="s">
        <v>184</v>
      </c>
      <c r="B2" s="4" t="s">
        <v>185</v>
      </c>
      <c r="C2" s="4" t="s">
        <v>186</v>
      </c>
      <c r="D2" s="4" t="s">
        <v>187</v>
      </c>
      <c r="E2" s="4" t="s">
        <v>188</v>
      </c>
    </row>
    <row r="3" customFormat="false" ht="18" hidden="false" customHeight="true" outlineLevel="0" collapsed="false">
      <c r="A3" s="11" t="s">
        <v>189</v>
      </c>
      <c r="B3" s="21" t="n">
        <v>8000</v>
      </c>
      <c r="C3" s="21"/>
      <c r="D3" s="21"/>
      <c r="E3" s="11" t="s">
        <v>190</v>
      </c>
    </row>
    <row r="4" customFormat="false" ht="18" hidden="false" customHeight="true" outlineLevel="0" collapsed="false">
      <c r="A4" s="16" t="s">
        <v>191</v>
      </c>
      <c r="B4" s="22" t="n">
        <v>14000</v>
      </c>
      <c r="C4" s="22"/>
      <c r="D4" s="22"/>
      <c r="E4" s="16" t="s">
        <v>192</v>
      </c>
    </row>
    <row r="5" customFormat="false" ht="18" hidden="false" customHeight="true" outlineLevel="0" collapsed="false">
      <c r="A5" s="11" t="s">
        <v>193</v>
      </c>
      <c r="B5" s="21" t="n">
        <v>3000</v>
      </c>
      <c r="C5" s="21"/>
      <c r="D5" s="21"/>
      <c r="E5" s="11" t="s">
        <v>194</v>
      </c>
    </row>
    <row r="6" customFormat="false" ht="18" hidden="false" customHeight="true" outlineLevel="0" collapsed="false">
      <c r="A6" s="16" t="s">
        <v>195</v>
      </c>
      <c r="B6" s="22" t="n">
        <v>2000</v>
      </c>
      <c r="C6" s="22"/>
      <c r="D6" s="22"/>
      <c r="E6" s="16" t="s">
        <v>196</v>
      </c>
    </row>
    <row r="7" customFormat="false" ht="18" hidden="false" customHeight="true" outlineLevel="0" collapsed="false">
      <c r="A7" s="11" t="s">
        <v>197</v>
      </c>
      <c r="B7" s="21" t="n">
        <v>600</v>
      </c>
      <c r="C7" s="21"/>
      <c r="D7" s="21"/>
      <c r="E7" s="11"/>
    </row>
    <row r="8" customFormat="false" ht="18" hidden="false" customHeight="true" outlineLevel="0" collapsed="false">
      <c r="A8" s="16" t="s">
        <v>198</v>
      </c>
      <c r="B8" s="22" t="n">
        <v>3000</v>
      </c>
      <c r="C8" s="22"/>
      <c r="D8" s="22"/>
      <c r="E8" s="16" t="s">
        <v>199</v>
      </c>
    </row>
    <row r="9" customFormat="false" ht="18" hidden="false" customHeight="true" outlineLevel="0" collapsed="false">
      <c r="A9" s="11" t="s">
        <v>200</v>
      </c>
      <c r="B9" s="21" t="n">
        <v>2000</v>
      </c>
      <c r="C9" s="21"/>
      <c r="D9" s="21"/>
      <c r="E9" s="11" t="s">
        <v>201</v>
      </c>
    </row>
    <row r="10" customFormat="false" ht="18" hidden="false" customHeight="true" outlineLevel="0" collapsed="false">
      <c r="A10" s="16" t="s">
        <v>202</v>
      </c>
      <c r="B10" s="22" t="n">
        <v>2000</v>
      </c>
      <c r="C10" s="22"/>
      <c r="D10" s="22"/>
      <c r="E10" s="16" t="s">
        <v>203</v>
      </c>
    </row>
    <row r="11" customFormat="false" ht="18" hidden="false" customHeight="true" outlineLevel="0" collapsed="false">
      <c r="A11" s="11" t="s">
        <v>204</v>
      </c>
      <c r="B11" s="21" t="n">
        <v>2500</v>
      </c>
      <c r="C11" s="21"/>
      <c r="D11" s="21"/>
      <c r="E11" s="11" t="s">
        <v>205</v>
      </c>
    </row>
    <row r="12" customFormat="false" ht="18" hidden="false" customHeight="true" outlineLevel="0" collapsed="false">
      <c r="A12" s="16" t="s">
        <v>206</v>
      </c>
      <c r="B12" s="22" t="n">
        <v>500</v>
      </c>
      <c r="C12" s="22"/>
      <c r="D12" s="22"/>
      <c r="E12" s="16" t="s">
        <v>207</v>
      </c>
    </row>
    <row r="13" customFormat="false" ht="18" hidden="false" customHeight="true" outlineLevel="0" collapsed="false">
      <c r="A13" s="11" t="s">
        <v>208</v>
      </c>
      <c r="B13" s="21" t="n">
        <v>2500</v>
      </c>
      <c r="C13" s="21"/>
      <c r="D13" s="21"/>
      <c r="E13" s="11" t="s">
        <v>209</v>
      </c>
    </row>
    <row r="14" customFormat="false" ht="18" hidden="false" customHeight="true" outlineLevel="0" collapsed="false">
      <c r="A14" s="16" t="s">
        <v>210</v>
      </c>
      <c r="B14" s="22" t="n">
        <v>1000</v>
      </c>
      <c r="C14" s="22"/>
      <c r="D14" s="22"/>
      <c r="E14" s="16"/>
    </row>
    <row r="15" customFormat="false" ht="18" hidden="false" customHeight="true" outlineLevel="0" collapsed="false">
      <c r="A15" s="11" t="s">
        <v>211</v>
      </c>
      <c r="B15" s="21" t="n">
        <v>600</v>
      </c>
      <c r="C15" s="21"/>
      <c r="D15" s="21"/>
      <c r="E15" s="11" t="s">
        <v>212</v>
      </c>
    </row>
    <row r="16" customFormat="false" ht="18" hidden="false" customHeight="true" outlineLevel="0" collapsed="false">
      <c r="A16" s="16" t="s">
        <v>213</v>
      </c>
      <c r="B16" s="22" t="n">
        <v>1500</v>
      </c>
      <c r="C16" s="22"/>
      <c r="D16" s="22"/>
      <c r="E16" s="16" t="s">
        <v>214</v>
      </c>
    </row>
    <row r="17" customFormat="false" ht="18" hidden="false" customHeight="true" outlineLevel="0" collapsed="false">
      <c r="A17" s="11" t="s">
        <v>215</v>
      </c>
      <c r="B17" s="21" t="n">
        <v>800</v>
      </c>
      <c r="C17" s="21"/>
      <c r="D17" s="21"/>
      <c r="E17" s="11" t="s">
        <v>216</v>
      </c>
    </row>
    <row r="18" customFormat="false" ht="18" hidden="false" customHeight="true" outlineLevel="0" collapsed="false">
      <c r="A18" s="16" t="s">
        <v>217</v>
      </c>
      <c r="B18" s="22" t="n">
        <v>500</v>
      </c>
      <c r="C18" s="22"/>
      <c r="D18" s="22"/>
      <c r="E18" s="16" t="s">
        <v>218</v>
      </c>
    </row>
    <row r="19" customFormat="false" ht="18" hidden="false" customHeight="true" outlineLevel="0" collapsed="false">
      <c r="A19" s="11" t="s">
        <v>219</v>
      </c>
      <c r="B19" s="21" t="n">
        <v>600</v>
      </c>
      <c r="C19" s="21"/>
      <c r="D19" s="21"/>
      <c r="E19" s="11"/>
    </row>
    <row r="20" customFormat="false" ht="18" hidden="false" customHeight="true" outlineLevel="0" collapsed="false">
      <c r="A20" s="16" t="s">
        <v>220</v>
      </c>
      <c r="B20" s="22" t="n">
        <v>400</v>
      </c>
      <c r="C20" s="22"/>
      <c r="D20" s="22"/>
      <c r="E20" s="16" t="s">
        <v>221</v>
      </c>
    </row>
    <row r="21" customFormat="false" ht="18" hidden="false" customHeight="true" outlineLevel="0" collapsed="false">
      <c r="A21" s="11" t="s">
        <v>222</v>
      </c>
      <c r="B21" s="21" t="n">
        <f aca="false">ROUND(SUM(B3:B20)*0.05,0)</f>
        <v>2275</v>
      </c>
      <c r="C21" s="21"/>
      <c r="D21" s="21"/>
      <c r="E21" s="11" t="s">
        <v>223</v>
      </c>
    </row>
    <row r="22" customFormat="false" ht="21.75" hidden="false" customHeight="true" outlineLevel="0" collapsed="false">
      <c r="A22" s="23" t="s">
        <v>224</v>
      </c>
      <c r="B22" s="24" t="n">
        <f aca="false">SUM(B3:B21)</f>
        <v>47775</v>
      </c>
      <c r="C22" s="24" t="n">
        <f aca="false">SUM(C3:C21)</f>
        <v>0</v>
      </c>
      <c r="D22" s="24" t="n">
        <f aca="false">SUM(D3:D21)</f>
        <v>0</v>
      </c>
      <c r="E22" s="25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6" min="4" style="1" width="16"/>
    <col collapsed="false" customWidth="true" hidden="false" outlineLevel="0" max="7" min="7" style="1" width="30"/>
  </cols>
  <sheetData>
    <row r="1" customFormat="false" ht="33.75" hidden="false" customHeight="true" outlineLevel="0" collapsed="false">
      <c r="A1" s="20" t="s">
        <v>225</v>
      </c>
      <c r="B1" s="20"/>
      <c r="C1" s="20"/>
      <c r="D1" s="20"/>
      <c r="E1" s="20"/>
      <c r="F1" s="20"/>
      <c r="G1" s="20"/>
    </row>
    <row r="2" customFormat="false" ht="25.5" hidden="false" customHeight="true" outlineLevel="0" collapsed="false">
      <c r="A2" s="26" t="s">
        <v>4</v>
      </c>
      <c r="B2" s="26" t="s">
        <v>226</v>
      </c>
      <c r="C2" s="26" t="s">
        <v>227</v>
      </c>
      <c r="D2" s="26" t="s">
        <v>228</v>
      </c>
      <c r="E2" s="26" t="s">
        <v>229</v>
      </c>
      <c r="F2" s="26" t="s">
        <v>6</v>
      </c>
      <c r="G2" s="26" t="s">
        <v>188</v>
      </c>
    </row>
    <row r="3" customFormat="false" ht="19.5" hidden="false" customHeight="true" outlineLevel="0" collapsed="false">
      <c r="A3" s="11" t="s">
        <v>25</v>
      </c>
      <c r="B3" s="11"/>
      <c r="C3" s="11"/>
      <c r="D3" s="11"/>
      <c r="E3" s="11"/>
      <c r="F3" s="11" t="s">
        <v>230</v>
      </c>
      <c r="G3" s="11"/>
    </row>
    <row r="4" customFormat="false" ht="19.5" hidden="false" customHeight="true" outlineLevel="0" collapsed="false">
      <c r="A4" s="16" t="s">
        <v>44</v>
      </c>
      <c r="B4" s="16"/>
      <c r="C4" s="16"/>
      <c r="D4" s="16"/>
      <c r="E4" s="16"/>
      <c r="F4" s="16" t="s">
        <v>230</v>
      </c>
      <c r="G4" s="16"/>
    </row>
    <row r="5" customFormat="false" ht="19.5" hidden="false" customHeight="true" outlineLevel="0" collapsed="false">
      <c r="A5" s="11" t="s">
        <v>231</v>
      </c>
      <c r="B5" s="11"/>
      <c r="C5" s="11"/>
      <c r="D5" s="11"/>
      <c r="E5" s="11"/>
      <c r="F5" s="11" t="s">
        <v>230</v>
      </c>
      <c r="G5" s="11"/>
    </row>
    <row r="6" customFormat="false" ht="19.5" hidden="false" customHeight="true" outlineLevel="0" collapsed="false">
      <c r="A6" s="16" t="s">
        <v>198</v>
      </c>
      <c r="B6" s="16"/>
      <c r="C6" s="16"/>
      <c r="D6" s="16"/>
      <c r="E6" s="16"/>
      <c r="F6" s="16" t="s">
        <v>230</v>
      </c>
      <c r="G6" s="16"/>
    </row>
    <row r="7" customFormat="false" ht="19.5" hidden="false" customHeight="true" outlineLevel="0" collapsed="false">
      <c r="A7" s="11" t="s">
        <v>200</v>
      </c>
      <c r="B7" s="11"/>
      <c r="C7" s="11"/>
      <c r="D7" s="11"/>
      <c r="E7" s="11"/>
      <c r="F7" s="11" t="s">
        <v>230</v>
      </c>
      <c r="G7" s="11"/>
    </row>
    <row r="8" customFormat="false" ht="19.5" hidden="false" customHeight="true" outlineLevel="0" collapsed="false">
      <c r="A8" s="16" t="s">
        <v>232</v>
      </c>
      <c r="B8" s="16"/>
      <c r="C8" s="16"/>
      <c r="D8" s="16"/>
      <c r="E8" s="16"/>
      <c r="F8" s="16" t="s">
        <v>230</v>
      </c>
      <c r="G8" s="16"/>
    </row>
    <row r="9" customFormat="false" ht="19.5" hidden="false" customHeight="true" outlineLevel="0" collapsed="false">
      <c r="A9" s="11" t="s">
        <v>233</v>
      </c>
      <c r="B9" s="11"/>
      <c r="C9" s="11"/>
      <c r="D9" s="11"/>
      <c r="E9" s="11"/>
      <c r="F9" s="11" t="s">
        <v>230</v>
      </c>
      <c r="G9" s="11"/>
    </row>
    <row r="10" customFormat="false" ht="19.5" hidden="false" customHeight="true" outlineLevel="0" collapsed="false">
      <c r="A10" s="16" t="s">
        <v>234</v>
      </c>
      <c r="B10" s="16"/>
      <c r="C10" s="16"/>
      <c r="D10" s="16"/>
      <c r="E10" s="16"/>
      <c r="F10" s="16" t="s">
        <v>230</v>
      </c>
      <c r="G10" s="16"/>
    </row>
    <row r="11" customFormat="false" ht="19.5" hidden="false" customHeight="true" outlineLevel="0" collapsed="false">
      <c r="A11" s="11" t="s">
        <v>235</v>
      </c>
      <c r="B11" s="11"/>
      <c r="C11" s="11"/>
      <c r="D11" s="11"/>
      <c r="E11" s="11"/>
      <c r="F11" s="11" t="s">
        <v>230</v>
      </c>
      <c r="G11" s="11"/>
    </row>
    <row r="12" customFormat="false" ht="19.5" hidden="false" customHeight="true" outlineLevel="0" collapsed="false">
      <c r="A12" s="16" t="s">
        <v>236</v>
      </c>
      <c r="B12" s="16"/>
      <c r="C12" s="16"/>
      <c r="D12" s="16"/>
      <c r="E12" s="16"/>
      <c r="F12" s="16" t="s">
        <v>230</v>
      </c>
      <c r="G12" s="16"/>
    </row>
    <row r="13" customFormat="false" ht="19.5" hidden="false" customHeight="true" outlineLevel="0" collapsed="false">
      <c r="A13" s="11" t="s">
        <v>208</v>
      </c>
      <c r="B13" s="11"/>
      <c r="C13" s="11"/>
      <c r="D13" s="11"/>
      <c r="E13" s="11"/>
      <c r="F13" s="11" t="s">
        <v>230</v>
      </c>
      <c r="G13" s="11"/>
    </row>
    <row r="14" customFormat="false" ht="19.5" hidden="false" customHeight="true" outlineLevel="0" collapsed="false">
      <c r="A14" s="16" t="s">
        <v>237</v>
      </c>
      <c r="B14" s="16"/>
      <c r="C14" s="16"/>
      <c r="D14" s="16"/>
      <c r="E14" s="16"/>
      <c r="F14" s="16" t="s">
        <v>230</v>
      </c>
      <c r="G14" s="16"/>
    </row>
    <row r="15" customFormat="false" ht="19.5" hidden="false" customHeight="true" outlineLevel="0" collapsed="false">
      <c r="A15" s="11" t="s">
        <v>238</v>
      </c>
      <c r="B15" s="11"/>
      <c r="C15" s="11"/>
      <c r="D15" s="11"/>
      <c r="E15" s="11"/>
      <c r="F15" s="11" t="s">
        <v>230</v>
      </c>
      <c r="G15" s="11"/>
    </row>
    <row r="16" customFormat="false" ht="19.5" hidden="false" customHeight="true" outlineLevel="0" collapsed="false">
      <c r="A16" s="16" t="s">
        <v>217</v>
      </c>
      <c r="B16" s="16"/>
      <c r="C16" s="16"/>
      <c r="D16" s="16"/>
      <c r="E16" s="16"/>
      <c r="F16" s="16" t="s">
        <v>230</v>
      </c>
      <c r="G16" s="16"/>
    </row>
    <row r="17" customFormat="false" ht="19.5" hidden="false" customHeight="true" outlineLevel="0" collapsed="false">
      <c r="A17" s="11" t="s">
        <v>239</v>
      </c>
      <c r="B17" s="11"/>
      <c r="C17" s="11"/>
      <c r="D17" s="11"/>
      <c r="E17" s="11"/>
      <c r="F17" s="11" t="s">
        <v>230</v>
      </c>
      <c r="G17" s="11"/>
    </row>
    <row r="18" customFormat="false" ht="19.5" hidden="false" customHeight="true" outlineLevel="0" collapsed="false">
      <c r="A18" s="16" t="s">
        <v>240</v>
      </c>
      <c r="B18" s="16"/>
      <c r="C18" s="16"/>
      <c r="D18" s="16"/>
      <c r="E18" s="16"/>
      <c r="F18" s="16" t="s">
        <v>230</v>
      </c>
      <c r="G18" s="16"/>
    </row>
    <row r="19" customFormat="false" ht="19.5" hidden="false" customHeight="true" outlineLevel="0" collapsed="false">
      <c r="A19" s="11" t="s">
        <v>241</v>
      </c>
      <c r="B19" s="11"/>
      <c r="C19" s="11"/>
      <c r="D19" s="11"/>
      <c r="E19" s="11"/>
      <c r="F19" s="11" t="s">
        <v>230</v>
      </c>
      <c r="G19" s="11"/>
    </row>
  </sheetData>
  <autoFilter ref="A2:G19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2026-06-26T09:17:12Z</dcterms:created>
  <dc:creator>openpyxl</dc:creator>
  <dc:description/>
  <dc:language>en-US</dc:language>
  <cp:lastModifiedBy/>
  <dcterms:modified xsi:type="dcterms:W3CDTF">2026-06-26T09:17:47Z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