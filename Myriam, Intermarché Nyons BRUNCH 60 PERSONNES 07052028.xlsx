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2600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G24" i="1" l="1"/>
  <c r="F24" i="1" s="1"/>
  <c r="G23" i="1"/>
  <c r="F23" i="1" s="1"/>
  <c r="G18" i="1"/>
  <c r="F18" i="1" s="1"/>
  <c r="G19" i="1"/>
  <c r="G20" i="1"/>
  <c r="F20" i="1" s="1"/>
  <c r="G21" i="1"/>
  <c r="F21" i="1" s="1"/>
  <c r="F19" i="1"/>
  <c r="G25" i="1" l="1"/>
  <c r="F25" i="1" s="1"/>
  <c r="G16" i="1" l="1"/>
  <c r="F16" i="1" s="1"/>
  <c r="G15" i="1"/>
  <c r="F15" i="1" s="1"/>
  <c r="G14" i="1"/>
  <c r="F14" i="1" s="1"/>
  <c r="G27" i="1" l="1"/>
  <c r="G29" i="1"/>
  <c r="G28" i="1" l="1"/>
</calcChain>
</file>

<file path=xl/sharedStrings.xml><?xml version="1.0" encoding="utf-8"?>
<sst xmlns="http://schemas.openxmlformats.org/spreadsheetml/2006/main" count="35" uniqueCount="34">
  <si>
    <t>Avenue de Venterol</t>
  </si>
  <si>
    <t>26110 Nyons</t>
  </si>
  <si>
    <t>DEVIS</t>
  </si>
  <si>
    <t>Date :</t>
  </si>
  <si>
    <t>N° client :</t>
  </si>
  <si>
    <t>N° devis :</t>
  </si>
  <si>
    <t>Tél. : 04 75 26 19 68</t>
  </si>
  <si>
    <t>Fax : 04 75 26 47 51</t>
  </si>
  <si>
    <t>QUANTITE</t>
  </si>
  <si>
    <t>TVA</t>
  </si>
  <si>
    <t>TAUX TVA</t>
  </si>
  <si>
    <t>TOTAL HT :</t>
  </si>
  <si>
    <t>TOTAL TVA :</t>
  </si>
  <si>
    <t>TOTAL TTC :</t>
  </si>
  <si>
    <t>TOTAL TTC</t>
  </si>
  <si>
    <t>PRIX UNITAIRE TTC</t>
  </si>
  <si>
    <t>PRODUIT</t>
  </si>
  <si>
    <t>PLATEAU FROMAGE</t>
  </si>
  <si>
    <t>TOTAL HT</t>
  </si>
  <si>
    <t>PLATEAU CAHARCUTERIE</t>
  </si>
  <si>
    <t>UNITES</t>
  </si>
  <si>
    <t>FRAIS DE PREPARATION</t>
  </si>
  <si>
    <t>ASSORTIMENT VIENNOISERIE X8</t>
  </si>
  <si>
    <t>BRUNCH 60 PERSONNES</t>
  </si>
  <si>
    <t>60 = NB DE PERS</t>
  </si>
  <si>
    <t>JUS PAGO :</t>
  </si>
  <si>
    <t>ACE</t>
  </si>
  <si>
    <t>MULTIFRUIT</t>
  </si>
  <si>
    <t>FRAISE</t>
  </si>
  <si>
    <t>ANANAS</t>
  </si>
  <si>
    <t>PAINS CEREALES</t>
  </si>
  <si>
    <t>PAINS SPORTIFS</t>
  </si>
  <si>
    <t>PAINS PAVES</t>
  </si>
  <si>
    <t>ASSORTIMENT PAINS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</si>
</sst>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7" xfId="0" applyFont="1" applyBorder="1"/>
    <xf numFmtId="0" fontId="1" fillId="0" borderId="10" xfId="0" applyFont="1" applyBorder="1"/>
    <xf numFmtId="0" fontId="1" fillId="0" borderId="12" xfId="0" applyFont="1" applyBorder="1"/>
    <xf numFmtId="0" fontId="2" fillId="0" borderId="0" xfId="0" applyFont="1" applyBorder="1" applyAlignment="1">
      <alignment vertical="center"/>
    </xf>
    <xf numFmtId="0" fontId="0" fillId="0" borderId="1" xfId="0" applyBorder="1"/>
    <xf numFmtId="0" fontId="1" fillId="0" borderId="4" xfId="0" applyFont="1" applyBorder="1"/>
    <xf numFmtId="0" fontId="1" fillId="0" borderId="19" xfId="0" applyFont="1" applyBorder="1"/>
    <xf numFmtId="0" fontId="0" fillId="0" borderId="15" xfId="0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2" fontId="0" fillId="0" borderId="17" xfId="0" applyNumberFormat="1" applyBorder="1" applyAlignment="1">
      <alignment horizontal="left" vertical="center"/>
    </xf>
    <xf numFmtId="1" fontId="0" fillId="0" borderId="15" xfId="0" applyNumberFormat="1" applyBorder="1" applyAlignment="1">
      <alignment horizontal="left" vertical="center"/>
    </xf>
    <xf numFmtId="0" fontId="0" fillId="0" borderId="0" xfId="0" applyNumberFormat="1"/>
    <xf numFmtId="0" fontId="0" fillId="0" borderId="18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0" fillId="0" borderId="26" xfId="0" applyBorder="1"/>
    <xf numFmtId="0" fontId="0" fillId="0" borderId="1" xfId="0" applyNumberFormat="1" applyFill="1" applyBorder="1" applyAlignment="1">
      <alignment horizontal="left" vertical="center"/>
    </xf>
    <xf numFmtId="1" fontId="0" fillId="0" borderId="28" xfId="0" applyNumberFormat="1" applyBorder="1" applyAlignment="1">
      <alignment horizontal="left" vertical="center"/>
    </xf>
    <xf numFmtId="2" fontId="0" fillId="0" borderId="27" xfId="0" applyNumberForma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2" fontId="0" fillId="0" borderId="29" xfId="0" applyNumberFormat="1" applyBorder="1" applyAlignment="1">
      <alignment vertical="center"/>
    </xf>
    <xf numFmtId="2" fontId="0" fillId="0" borderId="1" xfId="0" applyNumberFormat="1" applyBorder="1" applyAlignment="1"/>
    <xf numFmtId="0" fontId="1" fillId="0" borderId="2" xfId="0" applyFont="1" applyFill="1" applyBorder="1" applyAlignment="1">
      <alignment horizontal="center" vertical="center"/>
    </xf>
    <xf numFmtId="0" fontId="1" fillId="0" borderId="29" xfId="0" applyNumberFormat="1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5" xfId="0" applyNumberFormat="1" applyBorder="1" applyAlignment="1">
      <alignment horizontal="left" vertical="center"/>
    </xf>
    <xf numFmtId="2" fontId="0" fillId="0" borderId="25" xfId="0" applyNumberFormat="1" applyBorder="1" applyAlignment="1">
      <alignment horizontal="left" vertical="center"/>
    </xf>
    <xf numFmtId="2" fontId="0" fillId="0" borderId="30" xfId="0" applyNumberFormat="1" applyBorder="1" applyAlignment="1">
      <alignment horizontal="left" vertical="center"/>
    </xf>
    <xf numFmtId="1" fontId="0" fillId="0" borderId="16" xfId="0" applyNumberFormat="1" applyBorder="1" applyAlignment="1">
      <alignment horizontal="left" vertical="center"/>
    </xf>
    <xf numFmtId="0" fontId="1" fillId="0" borderId="31" xfId="0" applyFont="1" applyBorder="1"/>
    <xf numFmtId="0" fontId="1" fillId="0" borderId="32" xfId="0" applyFont="1" applyBorder="1"/>
    <xf numFmtId="0" fontId="1" fillId="0" borderId="18" xfId="0" applyFont="1" applyBorder="1"/>
    <xf numFmtId="0" fontId="1" fillId="0" borderId="16" xfId="0" applyFont="1" applyBorder="1"/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2" borderId="15" xfId="0" applyFill="1" applyBorder="1" applyAlignment="1">
      <alignment horizontal="left" vertical="center"/>
    </xf>
    <xf numFmtId="0" fontId="0" fillId="2" borderId="15" xfId="0" applyNumberFormat="1" applyFill="1" applyBorder="1" applyAlignment="1">
      <alignment horizontal="left" vertical="center"/>
    </xf>
    <xf numFmtId="1" fontId="0" fillId="2" borderId="15" xfId="0" applyNumberFormat="1" applyFill="1" applyBorder="1" applyAlignment="1">
      <alignment horizontal="left" vertical="center"/>
    </xf>
    <xf numFmtId="2" fontId="0" fillId="2" borderId="30" xfId="0" applyNumberFormat="1" applyFill="1" applyBorder="1" applyAlignment="1">
      <alignment horizontal="left" vertical="center"/>
    </xf>
    <xf numFmtId="2" fontId="0" fillId="2" borderId="17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104775</xdr:rowOff>
    </xdr:from>
    <xdr:to>
      <xdr:col>0</xdr:col>
      <xdr:colOff>1796595</xdr:colOff>
      <xdr:row>2</xdr:row>
      <xdr:rowOff>133350</xdr:rowOff>
    </xdr:to>
    <xdr:pic>
      <xdr:nvPicPr>
        <xdr:cNvPr id="3" name="Image 2" descr="Logo Intermarché">
          <a:extLst>
            <a:ext uri="{FF2B5EF4-FFF2-40B4-BE49-F238E27FC236}">
              <a16:creationId xmlns:a16="http://schemas.microsoft.com/office/drawing/2014/main" xmlns="" id="{294E4D5E-657E-4018-8F33-540BD9DC9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4" y="104775"/>
          <a:ext cx="1596571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B22" sqref="B22"/>
    </sheetView>
  </sheetViews>
  <sheetFormatPr baseColWidth="10" defaultColWidth="14" defaultRowHeight="15" x14ac:dyDescent="0.25"/>
  <cols>
    <col min="1" max="1" width="31.5703125" customWidth="1"/>
    <col min="2" max="2" width="10.85546875" style="13" customWidth="1"/>
    <col min="3" max="3" width="23.5703125" customWidth="1"/>
    <col min="4" max="4" width="19.140625" customWidth="1"/>
    <col min="7" max="7" width="14" customWidth="1"/>
    <col min="8" max="8" width="20" customWidth="1"/>
    <col min="9" max="9" width="16.7109375" customWidth="1"/>
  </cols>
  <sheetData>
    <row r="1" spans="1:8" ht="15.75" thickBot="1" x14ac:dyDescent="0.3">
      <c r="A1" s="42"/>
    </row>
    <row r="2" spans="1:8" ht="15" customHeight="1" x14ac:dyDescent="0.25">
      <c r="A2" s="42"/>
      <c r="E2" s="36" t="s">
        <v>2</v>
      </c>
      <c r="F2" s="37"/>
      <c r="G2" s="38"/>
      <c r="H2" s="4"/>
    </row>
    <row r="3" spans="1:8" ht="15.75" customHeight="1" thickBot="1" x14ac:dyDescent="0.3">
      <c r="A3" s="42"/>
      <c r="E3" s="39"/>
      <c r="F3" s="40"/>
      <c r="G3" s="41"/>
      <c r="H3" s="4"/>
    </row>
    <row r="4" spans="1:8" x14ac:dyDescent="0.25">
      <c r="A4" s="10" t="s">
        <v>0</v>
      </c>
    </row>
    <row r="5" spans="1:8" x14ac:dyDescent="0.25">
      <c r="A5" s="10" t="s">
        <v>1</v>
      </c>
    </row>
    <row r="6" spans="1:8" x14ac:dyDescent="0.25">
      <c r="A6" s="9" t="s">
        <v>6</v>
      </c>
    </row>
    <row r="7" spans="1:8" ht="15.75" thickBot="1" x14ac:dyDescent="0.3">
      <c r="A7" s="9" t="s">
        <v>7</v>
      </c>
    </row>
    <row r="8" spans="1:8" x14ac:dyDescent="0.25">
      <c r="A8" s="1" t="s">
        <v>3</v>
      </c>
      <c r="B8" s="43">
        <v>46880</v>
      </c>
      <c r="C8" s="44"/>
      <c r="D8" s="44"/>
      <c r="E8" s="44"/>
      <c r="F8" s="45"/>
      <c r="G8" s="46"/>
    </row>
    <row r="9" spans="1:8" x14ac:dyDescent="0.25">
      <c r="A9" s="2" t="s">
        <v>4</v>
      </c>
      <c r="B9" s="47" t="s">
        <v>23</v>
      </c>
      <c r="C9" s="47"/>
      <c r="D9" s="47"/>
      <c r="E9" s="47"/>
      <c r="F9" s="48"/>
      <c r="G9" s="49"/>
    </row>
    <row r="10" spans="1:8" ht="15.75" thickBot="1" x14ac:dyDescent="0.3">
      <c r="A10" s="3" t="s">
        <v>5</v>
      </c>
      <c r="B10" s="50">
        <v>1</v>
      </c>
      <c r="C10" s="50"/>
      <c r="D10" s="50"/>
      <c r="E10" s="50"/>
      <c r="F10" s="51"/>
      <c r="G10" s="52"/>
    </row>
    <row r="12" spans="1:8" ht="15.75" thickBot="1" x14ac:dyDescent="0.3"/>
    <row r="13" spans="1:8" x14ac:dyDescent="0.25">
      <c r="A13" s="24" t="s">
        <v>16</v>
      </c>
      <c r="B13" s="25" t="s">
        <v>8</v>
      </c>
      <c r="C13" s="26"/>
      <c r="D13" s="26" t="s">
        <v>15</v>
      </c>
      <c r="E13" s="26" t="s">
        <v>9</v>
      </c>
      <c r="F13" s="26" t="s">
        <v>18</v>
      </c>
      <c r="G13" s="26" t="s">
        <v>14</v>
      </c>
    </row>
    <row r="14" spans="1:8" x14ac:dyDescent="0.25">
      <c r="A14" s="21" t="s">
        <v>19</v>
      </c>
      <c r="B14" s="15">
        <v>60</v>
      </c>
      <c r="C14" s="18" t="s">
        <v>24</v>
      </c>
      <c r="D14" s="19">
        <v>3.5</v>
      </c>
      <c r="E14" s="11">
        <v>5.5</v>
      </c>
      <c r="F14" s="11">
        <f t="shared" ref="F14:F16" si="0">SUM(G14/1.055)</f>
        <v>199.05213270142181</v>
      </c>
      <c r="G14" s="11">
        <f t="shared" ref="G14:G16" si="1">SUM(B14*D14)</f>
        <v>210</v>
      </c>
    </row>
    <row r="15" spans="1:8" x14ac:dyDescent="0.25">
      <c r="A15" s="8" t="s">
        <v>17</v>
      </c>
      <c r="B15" s="14">
        <v>60</v>
      </c>
      <c r="C15" s="18" t="s">
        <v>24</v>
      </c>
      <c r="D15" s="19">
        <v>3.9</v>
      </c>
      <c r="E15" s="11">
        <v>5.5</v>
      </c>
      <c r="F15" s="11">
        <f t="shared" si="0"/>
        <v>221.80094786729859</v>
      </c>
      <c r="G15" s="11">
        <f t="shared" si="1"/>
        <v>234</v>
      </c>
    </row>
    <row r="16" spans="1:8" x14ac:dyDescent="0.25">
      <c r="A16" s="20" t="s">
        <v>22</v>
      </c>
      <c r="B16" s="14">
        <v>10</v>
      </c>
      <c r="C16" s="18" t="s">
        <v>20</v>
      </c>
      <c r="D16" s="19">
        <v>1.33</v>
      </c>
      <c r="E16" s="11">
        <v>5.5</v>
      </c>
      <c r="F16" s="11">
        <f t="shared" si="0"/>
        <v>12.606635071090048</v>
      </c>
      <c r="G16" s="11">
        <f t="shared" si="1"/>
        <v>13.3</v>
      </c>
    </row>
    <row r="17" spans="1:7" x14ac:dyDescent="0.25">
      <c r="A17" s="53" t="s">
        <v>25</v>
      </c>
      <c r="B17" s="54"/>
      <c r="C17" s="55"/>
      <c r="D17" s="56"/>
      <c r="E17" s="57"/>
      <c r="F17" s="57"/>
      <c r="G17" s="57"/>
    </row>
    <row r="18" spans="1:7" x14ac:dyDescent="0.25">
      <c r="A18" s="8" t="s">
        <v>26</v>
      </c>
      <c r="B18" s="15">
        <v>4</v>
      </c>
      <c r="C18" s="12"/>
      <c r="D18" s="30">
        <v>1.72</v>
      </c>
      <c r="E18" s="11">
        <v>5.5</v>
      </c>
      <c r="F18" s="11">
        <f t="shared" ref="F18:F25" si="2">SUM(G18/1.055)</f>
        <v>6.5213270142180102</v>
      </c>
      <c r="G18" s="11">
        <f t="shared" ref="G18:G24" si="3">SUM(B18*D18)</f>
        <v>6.88</v>
      </c>
    </row>
    <row r="19" spans="1:7" x14ac:dyDescent="0.25">
      <c r="A19" s="8" t="s">
        <v>27</v>
      </c>
      <c r="B19" s="15">
        <v>4</v>
      </c>
      <c r="C19" s="12"/>
      <c r="D19" s="30">
        <v>2.19</v>
      </c>
      <c r="E19" s="11">
        <v>5.5</v>
      </c>
      <c r="F19" s="11">
        <f t="shared" si="2"/>
        <v>8.3033175355450233</v>
      </c>
      <c r="G19" s="11">
        <f t="shared" si="3"/>
        <v>8.76</v>
      </c>
    </row>
    <row r="20" spans="1:7" x14ac:dyDescent="0.25">
      <c r="A20" s="8" t="s">
        <v>28</v>
      </c>
      <c r="B20" s="15">
        <v>4</v>
      </c>
      <c r="C20" s="12"/>
      <c r="D20" s="30">
        <v>2.7</v>
      </c>
      <c r="E20" s="11">
        <v>5.5</v>
      </c>
      <c r="F20" s="11">
        <f t="shared" si="2"/>
        <v>10.236966824644551</v>
      </c>
      <c r="G20" s="11">
        <f t="shared" si="3"/>
        <v>10.8</v>
      </c>
    </row>
    <row r="21" spans="1:7" x14ac:dyDescent="0.25">
      <c r="A21" s="8" t="s">
        <v>29</v>
      </c>
      <c r="B21" s="15">
        <v>4</v>
      </c>
      <c r="C21" s="12"/>
      <c r="D21" s="30">
        <v>1.95</v>
      </c>
      <c r="E21" s="11">
        <v>5.5</v>
      </c>
      <c r="F21" s="11">
        <f t="shared" si="2"/>
        <v>7.3933649289099526</v>
      </c>
      <c r="G21" s="11">
        <f t="shared" si="3"/>
        <v>7.8</v>
      </c>
    </row>
    <row r="22" spans="1:7" x14ac:dyDescent="0.25">
      <c r="A22" s="53" t="s">
        <v>33</v>
      </c>
      <c r="B22" s="54"/>
      <c r="C22" s="55"/>
      <c r="D22" s="56"/>
      <c r="E22" s="57"/>
      <c r="F22" s="57"/>
      <c r="G22" s="57"/>
    </row>
    <row r="23" spans="1:7" x14ac:dyDescent="0.25">
      <c r="A23" s="8" t="s">
        <v>31</v>
      </c>
      <c r="B23" s="15">
        <v>2</v>
      </c>
      <c r="C23" s="12"/>
      <c r="D23" s="30">
        <v>2.2400000000000002</v>
      </c>
      <c r="E23" s="11">
        <v>5.5</v>
      </c>
      <c r="F23" s="11">
        <f t="shared" si="2"/>
        <v>4.2464454976303321</v>
      </c>
      <c r="G23" s="11">
        <f t="shared" si="3"/>
        <v>4.4800000000000004</v>
      </c>
    </row>
    <row r="24" spans="1:7" x14ac:dyDescent="0.25">
      <c r="A24" s="8" t="s">
        <v>32</v>
      </c>
      <c r="B24" s="15">
        <v>5</v>
      </c>
      <c r="C24" s="12"/>
      <c r="D24" s="30">
        <v>2.2799999999999998</v>
      </c>
      <c r="E24" s="11">
        <v>5.5</v>
      </c>
      <c r="F24" s="11">
        <f t="shared" si="2"/>
        <v>10.805687203791468</v>
      </c>
      <c r="G24" s="11">
        <f t="shared" si="3"/>
        <v>11.399999999999999</v>
      </c>
    </row>
    <row r="25" spans="1:7" ht="15.75" thickBot="1" x14ac:dyDescent="0.3">
      <c r="A25" s="27" t="s">
        <v>30</v>
      </c>
      <c r="B25" s="28">
        <v>5</v>
      </c>
      <c r="C25" s="31"/>
      <c r="D25" s="29">
        <v>1.61</v>
      </c>
      <c r="E25" s="11">
        <v>5.5</v>
      </c>
      <c r="F25" s="11">
        <f t="shared" si="2"/>
        <v>7.6303317535545032</v>
      </c>
      <c r="G25" s="11">
        <f t="shared" ref="G25" si="4">SUM(B25*D25)</f>
        <v>8.0500000000000007</v>
      </c>
    </row>
    <row r="26" spans="1:7" ht="15.75" thickBot="1" x14ac:dyDescent="0.3">
      <c r="A26" s="27" t="s">
        <v>21</v>
      </c>
      <c r="B26" s="28">
        <v>1</v>
      </c>
      <c r="C26" s="31"/>
      <c r="D26" s="29"/>
      <c r="E26" s="11"/>
      <c r="F26" s="11"/>
      <c r="G26" s="11">
        <v>15</v>
      </c>
    </row>
    <row r="27" spans="1:7" ht="15.75" thickBot="1" x14ac:dyDescent="0.3">
      <c r="E27" s="32" t="s">
        <v>11</v>
      </c>
      <c r="F27" s="33"/>
      <c r="G27" s="22">
        <f>SUM(F14:F26)</f>
        <v>488.59715639810429</v>
      </c>
    </row>
    <row r="28" spans="1:7" ht="15.75" thickBot="1" x14ac:dyDescent="0.3">
      <c r="A28" s="16" t="s">
        <v>10</v>
      </c>
      <c r="B28" s="17">
        <v>5.5</v>
      </c>
      <c r="E28" s="7" t="s">
        <v>12</v>
      </c>
      <c r="F28" s="34"/>
      <c r="G28" s="22">
        <f>SUM(G29-G27)</f>
        <v>41.872843601895738</v>
      </c>
    </row>
    <row r="29" spans="1:7" ht="15.75" thickBot="1" x14ac:dyDescent="0.3">
      <c r="E29" s="6" t="s">
        <v>13</v>
      </c>
      <c r="F29" s="35"/>
      <c r="G29" s="23">
        <f>SUM(G14:G26)</f>
        <v>530.47</v>
      </c>
    </row>
    <row r="36" spans="4:4" ht="15.75" thickBot="1" x14ac:dyDescent="0.3"/>
    <row r="37" spans="4:4" ht="15.75" thickBot="1" x14ac:dyDescent="0.3">
      <c r="D37" s="5"/>
    </row>
  </sheetData>
  <mergeCells count="5">
    <mergeCell ref="E2:G3"/>
    <mergeCell ref="A1:A3"/>
    <mergeCell ref="B8:G8"/>
    <mergeCell ref="B9:G9"/>
    <mergeCell ref="B10:G10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STIME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***</dc:creator>
  <cp:lastModifiedBy>***</cp:lastModifiedBy>
  <cp:lastPrinted>2026-04-20T06:50:12Z</cp:lastPrinted>
  <dcterms:created xsi:type="dcterms:W3CDTF">2026-01-13T10:18:11Z</dcterms:created>
  <dcterms:modified xsi:type="dcterms:W3CDTF">2026-07-23T09:16:56Z</dcterms:modified>
</cp:coreProperties>
</file>